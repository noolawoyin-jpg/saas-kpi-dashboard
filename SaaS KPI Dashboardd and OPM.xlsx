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RR &amp; MRR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Cohort Analysi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.0;&quot;($&quot;#,##0.0\);\-"/>
    <numFmt numFmtId="165" formatCode="0.0%"/>
    <numFmt numFmtId="166" formatCode="\$#,##0.0"/>
    <numFmt numFmtId="167" formatCode="0.0\x"/>
    <numFmt numFmtId="168" formatCode="0.0"/>
    <numFmt numFmtId="169" formatCode="0.00\x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22"/>
    </font>
    <font>
      <name val="Arial"/>
      <charset val="1"/>
      <family val="0"/>
      <color rgb="FF595959"/>
      <sz val="11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3864"/>
      <sz val="13"/>
    </font>
    <font>
      <name val="Arial"/>
      <charset val="1"/>
      <family val="0"/>
      <color rgb="FF00B050"/>
      <sz val="9"/>
    </font>
    <font>
      <name val="Arial"/>
      <charset val="1"/>
      <family val="0"/>
      <color rgb="FFFF0000"/>
      <sz val="9"/>
    </font>
    <font>
      <name val="Arial"/>
      <charset val="1"/>
      <family val="0"/>
      <color rgb="FF595959"/>
      <sz val="9"/>
    </font>
    <font>
      <name val="Arial"/>
      <charset val="1"/>
      <family val="0"/>
      <color rgb="FF0000FF"/>
      <sz val="9"/>
    </font>
    <font>
      <name val="Arial"/>
      <charset val="1"/>
      <family val="0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595959"/>
      <sz val="8"/>
    </font>
  </fonts>
  <fills count="15">
    <fill>
      <patternFill/>
    </fill>
    <fill>
      <patternFill patternType="gray125"/>
    </fill>
    <fill>
      <patternFill patternType="solid">
        <fgColor rgb="FF9B59B6"/>
        <bgColor rgb="FF7B4FB6"/>
      </patternFill>
    </fill>
    <fill>
      <patternFill patternType="solid">
        <fgColor rgb="FF7B4FB6"/>
        <bgColor rgb="FF9B59B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3B1F64"/>
        <bgColor rgb="FF1F3864"/>
      </patternFill>
    </fill>
    <fill>
      <patternFill patternType="solid">
        <fgColor rgb="FFC9B8E8"/>
        <bgColor rgb="FFCC99FF"/>
      </patternFill>
    </fill>
    <fill>
      <patternFill patternType="solid">
        <fgColor rgb="FFFF7F00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rgb="FF008080"/>
      </patternFill>
    </fill>
    <fill>
      <patternFill patternType="solid">
        <fgColor rgb="FFD9D9D9"/>
        <bgColor rgb="FFF2F2F2"/>
      </patternFill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general" vertical="bottom"/>
    </xf>
    <xf numFmtId="164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general" vertical="bottom"/>
    </xf>
    <xf numFmtId="164" fontId="13" fillId="5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general" vertical="bottom"/>
    </xf>
    <xf numFmtId="164" fontId="13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general" vertical="bottom"/>
    </xf>
    <xf numFmtId="164" fontId="8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center" vertical="center"/>
    </xf>
    <xf numFmtId="166" fontId="15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general" vertical="bottom"/>
    </xf>
    <xf numFmtId="165" fontId="14" fillId="5" borderId="0" applyAlignment="1" pivotButton="0" quotePrefix="0" xfId="0">
      <alignment horizontal="center" vertical="center"/>
    </xf>
    <xf numFmtId="165" fontId="10" fillId="5" borderId="0" applyAlignment="1" pivotButton="0" quotePrefix="0" xfId="0">
      <alignment horizontal="center" vertical="center"/>
    </xf>
    <xf numFmtId="166" fontId="15" fillId="5" borderId="0" applyAlignment="1" pivotButton="0" quotePrefix="0" xfId="0">
      <alignment horizontal="center" vertical="center"/>
    </xf>
    <xf numFmtId="167" fontId="10" fillId="4" borderId="0" applyAlignment="1" pivotButton="0" quotePrefix="0" xfId="0">
      <alignment horizontal="center" vertical="center"/>
    </xf>
    <xf numFmtId="3" fontId="15" fillId="4" borderId="0" applyAlignment="1" pivotButton="0" quotePrefix="0" xfId="0">
      <alignment horizontal="center" vertical="center"/>
    </xf>
    <xf numFmtId="3" fontId="15" fillId="5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166" fontId="10" fillId="5" borderId="0" applyAlignment="1" pivotButton="0" quotePrefix="0" xfId="0">
      <alignment horizontal="center" vertical="center"/>
    </xf>
    <xf numFmtId="9" fontId="15" fillId="5" borderId="0" applyAlignment="1" pivotButton="0" quotePrefix="0" xfId="0">
      <alignment horizontal="center" vertical="center"/>
    </xf>
    <xf numFmtId="9" fontId="10" fillId="5" borderId="0" applyAlignment="1" pivotButton="0" quotePrefix="0" xfId="0">
      <alignment horizontal="center" vertical="center"/>
    </xf>
    <xf numFmtId="167" fontId="10" fillId="5" borderId="0" applyAlignment="1" pivotButton="0" quotePrefix="0" xfId="0">
      <alignment horizontal="center" vertical="center"/>
    </xf>
    <xf numFmtId="164" fontId="16" fillId="5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general" vertical="bottom"/>
    </xf>
    <xf numFmtId="168" fontId="9" fillId="7" borderId="0" applyAlignment="1" pivotButton="0" quotePrefix="0" xfId="0">
      <alignment horizontal="center" vertical="center"/>
    </xf>
    <xf numFmtId="165" fontId="15" fillId="5" borderId="0" applyAlignment="1" pivotButton="0" quotePrefix="0" xfId="0">
      <alignment horizontal="center" vertical="center"/>
    </xf>
    <xf numFmtId="168" fontId="15" fillId="5" borderId="0" applyAlignment="1" pivotButton="0" quotePrefix="0" xfId="0">
      <alignment horizontal="center" vertical="center"/>
    </xf>
    <xf numFmtId="166" fontId="9" fillId="7" borderId="0" applyAlignment="1" pivotButton="0" quotePrefix="0" xfId="0">
      <alignment horizontal="center" vertical="center"/>
    </xf>
    <xf numFmtId="167" fontId="9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169" fontId="15" fillId="5" borderId="0" applyAlignment="1" pivotButton="0" quotePrefix="0" xfId="0">
      <alignment horizontal="center" vertical="center"/>
    </xf>
    <xf numFmtId="167" fontId="15" fillId="5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9" fontId="18" fillId="8" borderId="0" applyAlignment="1" pivotButton="0" quotePrefix="0" xfId="0">
      <alignment horizontal="center" vertical="center"/>
    </xf>
    <xf numFmtId="9" fontId="16" fillId="9" borderId="0" applyAlignment="1" pivotButton="0" quotePrefix="0" xfId="0">
      <alignment horizontal="center" vertical="center"/>
    </xf>
    <xf numFmtId="9" fontId="16" fillId="10" borderId="0" applyAlignment="1" pivotButton="0" quotePrefix="0" xfId="0">
      <alignment horizontal="center" vertical="center"/>
    </xf>
    <xf numFmtId="9" fontId="16" fillId="11" borderId="0" applyAlignment="1" pivotButton="0" quotePrefix="0" xfId="0">
      <alignment horizontal="center" vertical="center"/>
    </xf>
    <xf numFmtId="9" fontId="16" fillId="12" borderId="0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9" fontId="16" fillId="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9" fontId="8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9" fillId="12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general" vertical="bottom"/>
    </xf>
    <xf numFmtId="164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general" vertical="bottom"/>
    </xf>
    <xf numFmtId="164" fontId="13" fillId="5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general" vertical="bottom"/>
    </xf>
    <xf numFmtId="164" fontId="13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general" vertical="bottom"/>
    </xf>
    <xf numFmtId="164" fontId="8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center" vertical="center"/>
    </xf>
    <xf numFmtId="166" fontId="15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general" vertical="bottom"/>
    </xf>
    <xf numFmtId="165" fontId="14" fillId="5" borderId="0" applyAlignment="1" pivotButton="0" quotePrefix="0" xfId="0">
      <alignment horizontal="center" vertical="center"/>
    </xf>
    <xf numFmtId="165" fontId="10" fillId="5" borderId="0" applyAlignment="1" pivotButton="0" quotePrefix="0" xfId="0">
      <alignment horizontal="center" vertical="center"/>
    </xf>
    <xf numFmtId="166" fontId="15" fillId="5" borderId="0" applyAlignment="1" pivotButton="0" quotePrefix="0" xfId="0">
      <alignment horizontal="center" vertical="center"/>
    </xf>
    <xf numFmtId="167" fontId="10" fillId="4" borderId="0" applyAlignment="1" pivotButton="0" quotePrefix="0" xfId="0">
      <alignment horizontal="center" vertical="center"/>
    </xf>
    <xf numFmtId="3" fontId="15" fillId="4" borderId="0" applyAlignment="1" pivotButton="0" quotePrefix="0" xfId="0">
      <alignment horizontal="center" vertical="center"/>
    </xf>
    <xf numFmtId="3" fontId="15" fillId="5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166" fontId="10" fillId="5" borderId="0" applyAlignment="1" pivotButton="0" quotePrefix="0" xfId="0">
      <alignment horizontal="center" vertical="center"/>
    </xf>
    <xf numFmtId="9" fontId="15" fillId="5" borderId="0" applyAlignment="1" pivotButton="0" quotePrefix="0" xfId="0">
      <alignment horizontal="center" vertical="center"/>
    </xf>
    <xf numFmtId="9" fontId="10" fillId="5" borderId="0" applyAlignment="1" pivotButton="0" quotePrefix="0" xfId="0">
      <alignment horizontal="center" vertical="center"/>
    </xf>
    <xf numFmtId="167" fontId="10" fillId="5" borderId="0" applyAlignment="1" pivotButton="0" quotePrefix="0" xfId="0">
      <alignment horizontal="center" vertical="center"/>
    </xf>
    <xf numFmtId="164" fontId="16" fillId="5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general" vertical="bottom"/>
    </xf>
    <xf numFmtId="168" fontId="9" fillId="7" borderId="0" applyAlignment="1" pivotButton="0" quotePrefix="0" xfId="0">
      <alignment horizontal="center" vertical="center"/>
    </xf>
    <xf numFmtId="165" fontId="15" fillId="5" borderId="0" applyAlignment="1" pivotButton="0" quotePrefix="0" xfId="0">
      <alignment horizontal="center" vertical="center"/>
    </xf>
    <xf numFmtId="168" fontId="15" fillId="5" borderId="0" applyAlignment="1" pivotButton="0" quotePrefix="0" xfId="0">
      <alignment horizontal="center" vertical="center"/>
    </xf>
    <xf numFmtId="166" fontId="9" fillId="7" borderId="0" applyAlignment="1" pivotButton="0" quotePrefix="0" xfId="0">
      <alignment horizontal="center" vertical="center"/>
    </xf>
    <xf numFmtId="167" fontId="9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169" fontId="15" fillId="5" borderId="0" applyAlignment="1" pivotButton="0" quotePrefix="0" xfId="0">
      <alignment horizontal="center" vertical="center"/>
    </xf>
    <xf numFmtId="167" fontId="15" fillId="5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9" fontId="18" fillId="8" borderId="0" applyAlignment="1" pivotButton="0" quotePrefix="0" xfId="0">
      <alignment horizontal="center" vertical="center"/>
    </xf>
    <xf numFmtId="9" fontId="16" fillId="9" borderId="0" applyAlignment="1" pivotButton="0" quotePrefix="0" xfId="0">
      <alignment horizontal="center" vertical="center"/>
    </xf>
    <xf numFmtId="9" fontId="16" fillId="10" borderId="0" applyAlignment="1" pivotButton="0" quotePrefix="0" xfId="0">
      <alignment horizontal="center" vertical="center"/>
    </xf>
    <xf numFmtId="9" fontId="16" fillId="11" borderId="0" applyAlignment="1" pivotButton="0" quotePrefix="0" xfId="0">
      <alignment horizontal="center" vertical="center"/>
    </xf>
    <xf numFmtId="9" fontId="16" fillId="12" borderId="0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9" fontId="16" fillId="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9" fontId="8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9" fillId="12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E8"/>
      <rgbColor rgb="FF9B59B6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7F00"/>
      <rgbColor rgb="FF7B4FB6"/>
      <rgbColor rgb="FF969696"/>
      <rgbColor rgb="FF1F3864"/>
      <rgbColor rgb="FF00B050"/>
      <rgbColor rgb="FF003300"/>
      <rgbColor rgb="FF333300"/>
      <rgbColor rgb="FF993300"/>
      <rgbColor rgb="FF993366"/>
      <rgbColor rgb="FF595959"/>
      <rgbColor rgb="FF3B1F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5" min="1" max="1"/>
    <col width="35" customWidth="1" style="75" min="2" max="2"/>
    <col width="18" customWidth="1" style="75" min="3" max="5"/>
    <col width="3" customWidth="1" style="75" min="6" max="6"/>
  </cols>
  <sheetData>
    <row r="1"/>
    <row r="2" ht="15" customHeight="1" s="76">
      <c r="B2" s="77" t="inlineStr">
        <is>
          <t>CLOUDPULSE SaaS ANALYTICS</t>
        </is>
      </c>
    </row>
    <row r="3" ht="15" customHeight="1" s="76"/>
    <row r="4" ht="15" customHeight="1" s="76">
      <c r="B4" s="78" t="inlineStr">
        <is>
          <t>SaaS Revenue &amp; KPI Financial Model | ARR, Cohort &amp; Unit Economics Analysis</t>
        </is>
      </c>
    </row>
    <row r="5" ht="15" customHeight="1" s="76">
      <c r="B5" s="79" t="inlineStr">
        <is>
          <t>B2B SaaS | SMB &amp; Mid-Market Segments | Subscription Revenue Focus</t>
        </is>
      </c>
    </row>
    <row r="6" ht="15" customHeight="1" s="76">
      <c r="B6" s="80" t="n"/>
      <c r="C6" s="80" t="n"/>
      <c r="D6" s="80" t="n"/>
      <c r="E6" s="80" t="n"/>
    </row>
    <row r="7"/>
    <row r="8" ht="15" customHeight="1" s="76">
      <c r="B8" s="81" t="inlineStr">
        <is>
          <t>KEY SaaS METRICS SNAPSHOT (FY2024A)</t>
        </is>
      </c>
    </row>
    <row r="9" ht="15" customHeight="1" s="76">
      <c r="B9" s="82" t="inlineStr">
        <is>
          <t>KPI</t>
        </is>
      </c>
      <c r="C9" s="82" t="inlineStr">
        <is>
          <t>FY2024A</t>
        </is>
      </c>
      <c r="D9" s="82" t="inlineStr">
        <is>
          <t>FY2025E</t>
        </is>
      </c>
      <c r="E9" s="82" t="inlineStr">
        <is>
          <t>FY2026E</t>
        </is>
      </c>
    </row>
    <row r="10" ht="15" customHeight="1" s="76">
      <c r="B10" s="83" t="inlineStr">
        <is>
          <t>ARR ($mm)</t>
        </is>
      </c>
      <c r="C10" s="84" t="inlineStr">
        <is>
          <t>$48.2</t>
        </is>
      </c>
      <c r="D10" s="84" t="inlineStr">
        <is>
          <t>$68.6</t>
        </is>
      </c>
      <c r="E10" s="84" t="inlineStr">
        <is>
          <t>$95.6</t>
        </is>
      </c>
    </row>
    <row r="11" ht="15" customHeight="1" s="76">
      <c r="B11" s="85" t="inlineStr">
        <is>
          <t>ARR Growth YoY</t>
        </is>
      </c>
      <c r="C11" s="86" t="inlineStr">
        <is>
          <t>42.1%</t>
        </is>
      </c>
      <c r="D11" s="86" t="inlineStr">
        <is>
          <t>42.4%</t>
        </is>
      </c>
      <c r="E11" s="86" t="inlineStr">
        <is>
          <t>39.4%</t>
        </is>
      </c>
    </row>
    <row r="12" ht="15" customHeight="1" s="76">
      <c r="B12" s="83" t="inlineStr">
        <is>
          <t>Monthly Recurring Revenue ($mm)</t>
        </is>
      </c>
      <c r="C12" s="84" t="inlineStr">
        <is>
          <t>$4.0</t>
        </is>
      </c>
      <c r="D12" s="84" t="inlineStr">
        <is>
          <t>$5.7</t>
        </is>
      </c>
      <c r="E12" s="84" t="inlineStr">
        <is>
          <t>$8.0</t>
        </is>
      </c>
    </row>
    <row r="13" ht="15" customHeight="1" s="76">
      <c r="B13" s="85" t="inlineStr">
        <is>
          <t>Net Revenue Retention</t>
        </is>
      </c>
      <c r="C13" s="86" t="inlineStr">
        <is>
          <t>118%</t>
        </is>
      </c>
      <c r="D13" s="86" t="inlineStr">
        <is>
          <t>121%</t>
        </is>
      </c>
      <c r="E13" s="86" t="inlineStr">
        <is>
          <t>124%</t>
        </is>
      </c>
    </row>
    <row r="14" ht="15" customHeight="1" s="76">
      <c r="B14" s="83" t="inlineStr">
        <is>
          <t>Gross Revenue Retention</t>
        </is>
      </c>
      <c r="C14" s="84" t="inlineStr">
        <is>
          <t>88%</t>
        </is>
      </c>
      <c r="D14" s="84" t="inlineStr">
        <is>
          <t>89%</t>
        </is>
      </c>
      <c r="E14" s="84" t="inlineStr">
        <is>
          <t>90%</t>
        </is>
      </c>
    </row>
    <row r="15" ht="15" customHeight="1" s="76">
      <c r="B15" s="85" t="inlineStr">
        <is>
          <t>Logo Churn Rate</t>
        </is>
      </c>
      <c r="C15" s="86" t="inlineStr">
        <is>
          <t>12.0%</t>
        </is>
      </c>
      <c r="D15" s="86" t="inlineStr">
        <is>
          <t>11.0%</t>
        </is>
      </c>
      <c r="E15" s="86" t="inlineStr">
        <is>
          <t>10.0%</t>
        </is>
      </c>
    </row>
    <row r="16" ht="15" customHeight="1" s="76">
      <c r="B16" s="83" t="inlineStr">
        <is>
          <t>CAC Payback Period (months)</t>
        </is>
      </c>
      <c r="C16" s="84" t="inlineStr">
        <is>
          <t>18</t>
        </is>
      </c>
      <c r="D16" s="84" t="inlineStr">
        <is>
          <t>16</t>
        </is>
      </c>
      <c r="E16" s="84" t="inlineStr">
        <is>
          <t>14</t>
        </is>
      </c>
    </row>
    <row r="17" ht="15" customHeight="1" s="76">
      <c r="B17" s="85" t="inlineStr">
        <is>
          <t>LTV / CAC Ratio</t>
        </is>
      </c>
      <c r="C17" s="86" t="inlineStr">
        <is>
          <t>4.2x</t>
        </is>
      </c>
      <c r="D17" s="86" t="inlineStr">
        <is>
          <t>5.1x</t>
        </is>
      </c>
      <c r="E17" s="86" t="inlineStr">
        <is>
          <t>6.2x</t>
        </is>
      </c>
    </row>
    <row r="18" ht="15" customHeight="1" s="76">
      <c r="B18" s="83" t="inlineStr">
        <is>
          <t>Rule of 40 Score</t>
        </is>
      </c>
      <c r="C18" s="84" t="inlineStr">
        <is>
          <t>58</t>
        </is>
      </c>
      <c r="D18" s="84" t="inlineStr">
        <is>
          <t>67</t>
        </is>
      </c>
      <c r="E18" s="84" t="inlineStr">
        <is>
          <t>75</t>
        </is>
      </c>
    </row>
  </sheetData>
  <mergeCells count="4">
    <mergeCell ref="B2:E3"/>
    <mergeCell ref="B8:E8"/>
    <mergeCell ref="B5:E5"/>
    <mergeCell ref="B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5" min="1" max="1"/>
    <col width="38" customWidth="1" style="75" min="2" max="2"/>
    <col width="13" customWidth="1" style="75" min="3" max="8"/>
  </cols>
  <sheetData>
    <row r="1" ht="21.75" customHeight="1" s="76">
      <c r="B1" s="87" t="inlineStr">
        <is>
          <t>CLOUDPULSE — ARR WATERFALL &amp; SUBSCRIPTION METRICS</t>
        </is>
      </c>
    </row>
    <row r="2" ht="15" customHeight="1" s="76">
      <c r="B2" s="88" t="inlineStr">
        <is>
          <t>All figures in USD millions unless noted | Annual Recurring Revenue Bridge</t>
        </is>
      </c>
    </row>
    <row r="3"/>
    <row r="4" ht="15.75" customHeight="1" s="76">
      <c r="B4" s="89" t="inlineStr">
        <is>
          <t>ARR WATERFALL ($mm)</t>
        </is>
      </c>
    </row>
    <row r="5" ht="15" customHeight="1" s="76">
      <c r="B5" s="90" t="inlineStr">
        <is>
          <t>Metric</t>
        </is>
      </c>
      <c r="C5" s="82" t="inlineStr">
        <is>
          <t>FY2022A</t>
        </is>
      </c>
      <c r="D5" s="82" t="inlineStr">
        <is>
          <t>FY2023A</t>
        </is>
      </c>
      <c r="E5" s="82" t="inlineStr">
        <is>
          <t>FY2024A</t>
        </is>
      </c>
      <c r="F5" s="82" t="inlineStr">
        <is>
          <t>FY2025E</t>
        </is>
      </c>
      <c r="G5" s="82" t="inlineStr">
        <is>
          <t>FY2026E</t>
        </is>
      </c>
      <c r="H5" s="82" t="inlineStr">
        <is>
          <t>FY2027E</t>
        </is>
      </c>
    </row>
    <row r="6" ht="15" customHeight="1" s="76">
      <c r="B6" s="91" t="inlineStr">
        <is>
          <t>Beginning ARR</t>
        </is>
      </c>
      <c r="C6" s="92" t="n">
        <v>23.8</v>
      </c>
      <c r="D6" s="92" t="n">
        <v>33.9</v>
      </c>
      <c r="E6" s="92" t="n">
        <v>48.2</v>
      </c>
      <c r="F6" s="92" t="n">
        <v>68.59999999999999</v>
      </c>
      <c r="G6" s="92" t="n">
        <v>97.5</v>
      </c>
      <c r="H6" s="92" t="n">
        <v>136.1</v>
      </c>
    </row>
    <row r="7" ht="15" customHeight="1" s="76">
      <c r="B7" s="93" t="inlineStr">
        <is>
          <t>New ARR (New Logos)</t>
        </is>
      </c>
      <c r="C7" s="94" t="n">
        <v>8.199999999999999</v>
      </c>
      <c r="D7" s="94" t="n">
        <v>10.4</v>
      </c>
      <c r="E7" s="94" t="n">
        <v>13.8</v>
      </c>
      <c r="F7" s="94" t="n">
        <v>18.2</v>
      </c>
      <c r="G7" s="94" t="n">
        <v>23.8</v>
      </c>
      <c r="H7" s="94" t="n">
        <v>30.4</v>
      </c>
    </row>
    <row r="8" ht="15" customHeight="1" s="76">
      <c r="B8" s="95" t="inlineStr">
        <is>
          <t>Expansion ARR (Upsell)</t>
        </is>
      </c>
      <c r="C8" s="96" t="n">
        <v>4.8</v>
      </c>
      <c r="D8" s="96" t="n">
        <v>6.2</v>
      </c>
      <c r="E8" s="96" t="n">
        <v>8.6</v>
      </c>
      <c r="F8" s="96" t="n">
        <v>11.4</v>
      </c>
      <c r="G8" s="96" t="n">
        <v>15.2</v>
      </c>
      <c r="H8" s="96" t="n">
        <v>20.1</v>
      </c>
    </row>
    <row r="9" ht="15" customHeight="1" s="76">
      <c r="B9" s="97" t="inlineStr">
        <is>
          <t>Contraction ARR</t>
        </is>
      </c>
      <c r="C9" s="98" t="n">
        <v>-1.2</v>
      </c>
      <c r="D9" s="98" t="n">
        <v>-1.4</v>
      </c>
      <c r="E9" s="98" t="n">
        <v>-1.8</v>
      </c>
      <c r="F9" s="98" t="n">
        <v>-2.2</v>
      </c>
      <c r="G9" s="98" t="n">
        <v>-2.8</v>
      </c>
      <c r="H9" s="98" t="n">
        <v>-3.4</v>
      </c>
    </row>
    <row r="10" ht="15" customHeight="1" s="76">
      <c r="B10" s="99" t="inlineStr">
        <is>
          <t>Churned ARR</t>
        </is>
      </c>
      <c r="C10" s="100" t="n">
        <v>-2.8</v>
      </c>
      <c r="D10" s="100" t="n">
        <v>-3.4</v>
      </c>
      <c r="E10" s="100" t="n">
        <v>-4.2</v>
      </c>
      <c r="F10" s="100" t="n">
        <v>-5.2</v>
      </c>
      <c r="G10" s="100" t="n">
        <v>-6.4</v>
      </c>
      <c r="H10" s="100" t="n">
        <v>-7.8</v>
      </c>
    </row>
    <row r="11" ht="15" customHeight="1" s="76">
      <c r="B11" s="101" t="inlineStr">
        <is>
          <t>Ending ARR</t>
        </is>
      </c>
      <c r="C11" s="102" t="n">
        <v>33.9</v>
      </c>
      <c r="D11" s="102" t="n">
        <v>48.2</v>
      </c>
      <c r="E11" s="102" t="n">
        <v>68.59999999999999</v>
      </c>
      <c r="F11" s="102" t="n">
        <v>97.5</v>
      </c>
      <c r="G11" s="102" t="n">
        <v>136.1</v>
      </c>
      <c r="H11" s="102" t="n">
        <v>188.2</v>
      </c>
    </row>
    <row r="12" ht="15" customHeight="1" s="76">
      <c r="B12" s="103" t="inlineStr">
        <is>
          <t xml:space="preserve">  ARR Growth YoY</t>
        </is>
      </c>
      <c r="C12" s="104" t="inlineStr">
        <is>
          <t>N/A</t>
        </is>
      </c>
      <c r="D12" s="104">
        <f>(D11-C11)/C11</f>
        <v/>
      </c>
      <c r="E12" s="104">
        <f>(E11-D11)/D11</f>
        <v/>
      </c>
      <c r="F12" s="104">
        <f>(F11-E11)/E11</f>
        <v/>
      </c>
      <c r="G12" s="104">
        <f>(G11-F11)/G11</f>
        <v/>
      </c>
      <c r="H12" s="104">
        <f>(H11-G11)/H11</f>
        <v/>
      </c>
    </row>
    <row r="13"/>
    <row r="14" ht="15.75" customHeight="1" s="76">
      <c r="B14" s="89" t="inlineStr">
        <is>
          <t>MONTHLY RECURRING REVENUE &amp; BOOKINGS</t>
        </is>
      </c>
    </row>
    <row r="15" ht="15" customHeight="1" s="76">
      <c r="B15" s="90" t="inlineStr">
        <is>
          <t>Metric</t>
        </is>
      </c>
      <c r="C15" s="82" t="inlineStr">
        <is>
          <t>FY2022A</t>
        </is>
      </c>
      <c r="D15" s="82" t="inlineStr">
        <is>
          <t>FY2023A</t>
        </is>
      </c>
      <c r="E15" s="82" t="inlineStr">
        <is>
          <t>FY2024A</t>
        </is>
      </c>
      <c r="F15" s="82" t="inlineStr">
        <is>
          <t>FY2025E</t>
        </is>
      </c>
      <c r="G15" s="82" t="inlineStr">
        <is>
          <t>FY2026E</t>
        </is>
      </c>
      <c r="H15" s="82" t="inlineStr">
        <is>
          <t>FY2027E</t>
        </is>
      </c>
    </row>
    <row r="16" ht="15" customHeight="1" s="76">
      <c r="B16" s="91" t="inlineStr">
        <is>
          <t>Monthly Recurring Revenue (MRR)</t>
        </is>
      </c>
      <c r="C16" s="105" t="n">
        <v>2.8</v>
      </c>
      <c r="D16" s="105" t="n">
        <v>4</v>
      </c>
      <c r="E16" s="105" t="n">
        <v>5.7</v>
      </c>
      <c r="F16" s="105" t="n">
        <v>8.1</v>
      </c>
      <c r="G16" s="105" t="n">
        <v>11.3</v>
      </c>
      <c r="H16" s="105" t="n">
        <v>15.7</v>
      </c>
    </row>
    <row r="17" ht="15" customHeight="1" s="76">
      <c r="B17" s="106" t="inlineStr">
        <is>
          <t xml:space="preserve">  MRR Growth YoY</t>
        </is>
      </c>
      <c r="C17" s="107" t="n"/>
      <c r="D17" s="108">
        <f>(D16-C16)/C16</f>
        <v/>
      </c>
      <c r="E17" s="108">
        <f>(E16-D16)/D16</f>
        <v/>
      </c>
      <c r="F17" s="108">
        <f>(F16-E16)/F16</f>
        <v/>
      </c>
      <c r="G17" s="108">
        <f>(G16-F16)/G16</f>
        <v/>
      </c>
      <c r="H17" s="108">
        <f>(H16-G16)/H16</f>
        <v/>
      </c>
    </row>
    <row r="18" ht="15" customHeight="1" s="76">
      <c r="B18" s="91" t="inlineStr">
        <is>
          <t>Annual Contract Value (ACV, $mm)</t>
        </is>
      </c>
      <c r="C18" s="105" t="n">
        <v>2.4</v>
      </c>
      <c r="D18" s="105" t="n">
        <v>3.2</v>
      </c>
      <c r="E18" s="105" t="n">
        <v>4.1</v>
      </c>
      <c r="F18" s="105" t="n">
        <v>5.6</v>
      </c>
      <c r="G18" s="105" t="n">
        <v>7.4</v>
      </c>
      <c r="H18" s="105" t="n">
        <v>9.800000000000001</v>
      </c>
    </row>
    <row r="19" ht="15" customHeight="1" s="76">
      <c r="B19" s="106" t="inlineStr">
        <is>
          <t>Total Bookings ($mm)</t>
        </is>
      </c>
      <c r="C19" s="109" t="n">
        <v>11.2</v>
      </c>
      <c r="D19" s="109" t="n">
        <v>15.8</v>
      </c>
      <c r="E19" s="109" t="n">
        <v>21.8</v>
      </c>
      <c r="F19" s="109" t="n">
        <v>30.2</v>
      </c>
      <c r="G19" s="109" t="n">
        <v>41.4</v>
      </c>
      <c r="H19" s="109" t="n">
        <v>55.6</v>
      </c>
    </row>
    <row r="20" ht="15" customHeight="1" s="76">
      <c r="B20" s="91" t="inlineStr">
        <is>
          <t xml:space="preserve">  Book-to-Bill Ratio</t>
        </is>
      </c>
      <c r="C20" s="110">
        <f>C19/C16/12</f>
        <v/>
      </c>
      <c r="D20" s="110">
        <f>D19/D16/12</f>
        <v/>
      </c>
      <c r="E20" s="110">
        <f>E19/E16/12</f>
        <v/>
      </c>
      <c r="F20" s="110">
        <f>F19/F16/12</f>
        <v/>
      </c>
      <c r="G20" s="110">
        <f>G19/G16/12</f>
        <v/>
      </c>
      <c r="H20" s="110">
        <f>H19/H16/12</f>
        <v/>
      </c>
    </row>
    <row r="21"/>
    <row r="22" ht="15.75" customHeight="1" s="76">
      <c r="B22" s="89" t="inlineStr">
        <is>
          <t>CUSTOMER / LOGO METRICS</t>
        </is>
      </c>
    </row>
    <row r="23" ht="15" customHeight="1" s="76">
      <c r="B23" s="90" t="inlineStr">
        <is>
          <t>Metric</t>
        </is>
      </c>
      <c r="C23" s="82" t="inlineStr">
        <is>
          <t>FY2022A</t>
        </is>
      </c>
      <c r="D23" s="82" t="inlineStr">
        <is>
          <t>FY2023A</t>
        </is>
      </c>
      <c r="E23" s="82" t="inlineStr">
        <is>
          <t>FY2024A</t>
        </is>
      </c>
      <c r="F23" s="82" t="inlineStr">
        <is>
          <t>FY2025E</t>
        </is>
      </c>
      <c r="G23" s="82" t="inlineStr">
        <is>
          <t>FY2026E</t>
        </is>
      </c>
      <c r="H23" s="82" t="inlineStr">
        <is>
          <t>FY2027E</t>
        </is>
      </c>
    </row>
    <row r="24" ht="15" customHeight="1" s="76">
      <c r="B24" s="91" t="inlineStr">
        <is>
          <t>Beginning Logos</t>
        </is>
      </c>
      <c r="C24" s="111" t="n">
        <v>142</v>
      </c>
      <c r="D24" s="111" t="n">
        <v>198</v>
      </c>
      <c r="E24" s="111" t="n">
        <v>268</v>
      </c>
      <c r="F24" s="111" t="n">
        <v>356</v>
      </c>
      <c r="G24" s="111" t="n">
        <v>468</v>
      </c>
      <c r="H24" s="111" t="n">
        <v>608</v>
      </c>
    </row>
    <row r="25" ht="15" customHeight="1" s="76">
      <c r="B25" s="106" t="inlineStr">
        <is>
          <t>New Logos Added</t>
        </is>
      </c>
      <c r="C25" s="112" t="n">
        <v>68</v>
      </c>
      <c r="D25" s="112" t="n">
        <v>84</v>
      </c>
      <c r="E25" s="112" t="n">
        <v>108</v>
      </c>
      <c r="F25" s="112" t="n">
        <v>136</v>
      </c>
      <c r="G25" s="112" t="n">
        <v>168</v>
      </c>
      <c r="H25" s="112" t="n">
        <v>208</v>
      </c>
    </row>
    <row r="26" ht="15" customHeight="1" s="76">
      <c r="B26" s="91" t="inlineStr">
        <is>
          <t>Churned Logos</t>
        </is>
      </c>
      <c r="C26" s="111" t="n">
        <v>12</v>
      </c>
      <c r="D26" s="111" t="n">
        <v>14</v>
      </c>
      <c r="E26" s="111" t="n">
        <v>20</v>
      </c>
      <c r="F26" s="111" t="n">
        <v>24</v>
      </c>
      <c r="G26" s="111" t="n">
        <v>28</v>
      </c>
      <c r="H26" s="111" t="n">
        <v>34</v>
      </c>
    </row>
    <row r="27" ht="15" customHeight="1" s="76">
      <c r="B27" s="106" t="inlineStr">
        <is>
          <t>Ending Logos (Customers)</t>
        </is>
      </c>
      <c r="C27" s="112" t="n">
        <v>198</v>
      </c>
      <c r="D27" s="112" t="n">
        <v>268</v>
      </c>
      <c r="E27" s="112" t="n">
        <v>356</v>
      </c>
      <c r="F27" s="112" t="n">
        <v>468</v>
      </c>
      <c r="G27" s="112" t="n">
        <v>608</v>
      </c>
      <c r="H27" s="112" t="n">
        <v>782</v>
      </c>
    </row>
    <row r="28" ht="15" customHeight="1" s="76">
      <c r="B28" s="91" t="inlineStr">
        <is>
          <t>Logo Churn Rate</t>
        </is>
      </c>
      <c r="C28" s="113">
        <f>C26/C24</f>
        <v/>
      </c>
      <c r="D28" s="113">
        <f>D26/D24</f>
        <v/>
      </c>
      <c r="E28" s="113">
        <f>E26/E24</f>
        <v/>
      </c>
      <c r="F28" s="113">
        <f>F26/F24</f>
        <v/>
      </c>
      <c r="G28" s="113">
        <f>G26/G24</f>
        <v/>
      </c>
      <c r="H28" s="113">
        <f>H26/H24</f>
        <v/>
      </c>
    </row>
    <row r="29" ht="15" customHeight="1" s="76">
      <c r="B29" s="106" t="inlineStr">
        <is>
          <t>Average ARR per Customer ($K)</t>
        </is>
      </c>
      <c r="C29" s="114">
        <f>C11/C27*1000</f>
        <v/>
      </c>
      <c r="D29" s="114">
        <f>D11/D27*1000</f>
        <v/>
      </c>
      <c r="E29" s="114">
        <f>E11/E27*1000</f>
        <v/>
      </c>
      <c r="F29" s="114">
        <f>F11/F27*1000</f>
        <v/>
      </c>
      <c r="G29" s="114">
        <f>G11/G27*1000</f>
        <v/>
      </c>
      <c r="H29" s="114">
        <f>H11/H27*1000</f>
        <v/>
      </c>
    </row>
    <row r="30"/>
    <row r="31" ht="15.75" customHeight="1" s="76">
      <c r="B31" s="89" t="inlineStr">
        <is>
          <t>RETENTION &amp; COHORT METRICS</t>
        </is>
      </c>
    </row>
    <row r="32" ht="15" customHeight="1" s="76">
      <c r="B32" s="90" t="inlineStr">
        <is>
          <t>Metric</t>
        </is>
      </c>
      <c r="C32" s="82" t="inlineStr">
        <is>
          <t>FY2022A</t>
        </is>
      </c>
      <c r="D32" s="82" t="inlineStr">
        <is>
          <t>FY2023A</t>
        </is>
      </c>
      <c r="E32" s="82" t="inlineStr">
        <is>
          <t>FY2024A</t>
        </is>
      </c>
      <c r="F32" s="82" t="inlineStr">
        <is>
          <t>FY2025E</t>
        </is>
      </c>
      <c r="G32" s="82" t="inlineStr">
        <is>
          <t>FY2026E</t>
        </is>
      </c>
      <c r="H32" s="82" t="inlineStr">
        <is>
          <t>FY2027E</t>
        </is>
      </c>
    </row>
    <row r="33" ht="15" customHeight="1" s="76">
      <c r="B33" s="106" t="inlineStr">
        <is>
          <t>Net Revenue Retention (NRR)</t>
        </is>
      </c>
      <c r="C33" s="115" t="n">
        <v>1.12</v>
      </c>
      <c r="D33" s="115" t="n">
        <v>1.14</v>
      </c>
      <c r="E33" s="115" t="n">
        <v>1.18</v>
      </c>
      <c r="F33" s="115" t="n">
        <v>1.21</v>
      </c>
      <c r="G33" s="115" t="n">
        <v>1.24</v>
      </c>
      <c r="H33" s="115" t="n">
        <v>1.27</v>
      </c>
    </row>
    <row r="34" ht="15" customHeight="1" s="76">
      <c r="B34" s="106" t="inlineStr">
        <is>
          <t>Gross Revenue Retention (GRR)</t>
        </is>
      </c>
      <c r="C34" s="115" t="n">
        <v>0.85</v>
      </c>
      <c r="D34" s="115" t="n">
        <v>0.86</v>
      </c>
      <c r="E34" s="115" t="n">
        <v>0.88</v>
      </c>
      <c r="F34" s="115" t="n">
        <v>0.89</v>
      </c>
      <c r="G34" s="115" t="n">
        <v>0.9</v>
      </c>
      <c r="H34" s="115" t="n">
        <v>0.91</v>
      </c>
    </row>
    <row r="35" ht="15" customHeight="1" s="76">
      <c r="B35" s="106" t="inlineStr">
        <is>
          <t>Net Dollar Expansion Rate</t>
        </is>
      </c>
      <c r="C35" s="116">
        <f>C33-C34</f>
        <v/>
      </c>
      <c r="D35" s="116">
        <f>D33-D34</f>
        <v/>
      </c>
      <c r="E35" s="116">
        <f>E33-E34</f>
        <v/>
      </c>
      <c r="F35" s="116">
        <f>F33-F34</f>
        <v/>
      </c>
      <c r="G35" s="116">
        <f>G33-G34</f>
        <v/>
      </c>
      <c r="H35" s="116">
        <f>H33-H34</f>
        <v/>
      </c>
    </row>
    <row r="36" ht="15" customHeight="1" s="76">
      <c r="B36" s="106" t="inlineStr">
        <is>
          <t>Quick Ratio (New+Exp / Churn+Contr)</t>
        </is>
      </c>
      <c r="C36" s="117">
        <f>(C7+C8)/(ABS(C9)+ABS(C10))</f>
        <v/>
      </c>
      <c r="D36" s="117">
        <f>(D7+D8)/(ABS(D9)+ABS(D10))</f>
        <v/>
      </c>
      <c r="E36" s="117">
        <f>(E7+E8)/(ABS(E9)+ABS(E10))</f>
        <v/>
      </c>
      <c r="F36" s="117">
        <f>(F7+F8)/(ABS(F9)+ABS(F10))</f>
        <v/>
      </c>
      <c r="G36" s="117">
        <f>(G7+G8)/(ABS(G9)+ABS(G10))</f>
        <v/>
      </c>
      <c r="H36" s="117">
        <f>(H7+H8)/(ABS(H9)+ABS(H10))</f>
        <v/>
      </c>
    </row>
  </sheetData>
  <mergeCells count="6">
    <mergeCell ref="B22:H22"/>
    <mergeCell ref="B14:H14"/>
    <mergeCell ref="B1:H1"/>
    <mergeCell ref="B4:H4"/>
    <mergeCell ref="B2:H2"/>
    <mergeCell ref="B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5" min="1" max="1"/>
    <col width="38" customWidth="1" style="75" min="2" max="2"/>
    <col width="13" customWidth="1" style="75" min="3" max="8"/>
  </cols>
  <sheetData>
    <row r="1" ht="15.75" customHeight="1" s="76">
      <c r="B1" s="87" t="inlineStr">
        <is>
          <t>CLOUDPULSE — UNIT ECONOMICS &amp; LTV/CAC ANALYSIS</t>
        </is>
      </c>
    </row>
    <row r="2"/>
    <row r="3" ht="15.75" customHeight="1" s="76">
      <c r="B3" s="89" t="inlineStr">
        <is>
          <t>CUSTOMER ACQUISITION COSTS (CAC)</t>
        </is>
      </c>
    </row>
    <row r="4" ht="15" customHeight="1" s="76">
      <c r="B4" s="90" t="inlineStr">
        <is>
          <t>Metric</t>
        </is>
      </c>
      <c r="C4" s="82" t="inlineStr">
        <is>
          <t>FY2022A</t>
        </is>
      </c>
      <c r="D4" s="82" t="inlineStr">
        <is>
          <t>FY2023A</t>
        </is>
      </c>
      <c r="E4" s="82" t="inlineStr">
        <is>
          <t>FY2024A</t>
        </is>
      </c>
      <c r="F4" s="82" t="inlineStr">
        <is>
          <t>FY2025E</t>
        </is>
      </c>
      <c r="G4" s="82" t="inlineStr">
        <is>
          <t>FY2026E</t>
        </is>
      </c>
      <c r="H4" s="82" t="inlineStr">
        <is>
          <t>FY2027E</t>
        </is>
      </c>
    </row>
    <row r="5" ht="15" customHeight="1" s="76">
      <c r="B5" s="106" t="inlineStr">
        <is>
          <t>S&amp;M Spend ($mm)</t>
        </is>
      </c>
      <c r="C5" s="109" t="n">
        <v>8.199999999999999</v>
      </c>
      <c r="D5" s="109" t="n">
        <v>10.8</v>
      </c>
      <c r="E5" s="109" t="n">
        <v>14.2</v>
      </c>
      <c r="F5" s="109" t="n">
        <v>18.4</v>
      </c>
      <c r="G5" s="109" t="n">
        <v>23.6</v>
      </c>
      <c r="H5" s="109" t="n">
        <v>30.1</v>
      </c>
    </row>
    <row r="6" ht="15" customHeight="1" s="76">
      <c r="B6" s="106" t="inlineStr">
        <is>
          <t>New Customers Acquired</t>
        </is>
      </c>
      <c r="C6" s="112" t="n">
        <v>68</v>
      </c>
      <c r="D6" s="112" t="n">
        <v>84</v>
      </c>
      <c r="E6" s="112" t="n">
        <v>108</v>
      </c>
      <c r="F6" s="112" t="n">
        <v>136</v>
      </c>
      <c r="G6" s="112" t="n">
        <v>168</v>
      </c>
      <c r="H6" s="112" t="n">
        <v>208</v>
      </c>
    </row>
    <row r="7" ht="15" customHeight="1" s="76">
      <c r="B7" s="106" t="inlineStr">
        <is>
          <t>Blended CAC ($K)</t>
        </is>
      </c>
      <c r="C7" s="118">
        <f>C5*1000/C6</f>
        <v/>
      </c>
      <c r="D7" s="118">
        <f>D5*1000/D6</f>
        <v/>
      </c>
      <c r="E7" s="118">
        <f>E5*1000/E6</f>
        <v/>
      </c>
      <c r="F7" s="118">
        <f>F5*1000/F6</f>
        <v/>
      </c>
      <c r="G7" s="118">
        <f>G5*1000/G6</f>
        <v/>
      </c>
      <c r="H7" s="118">
        <f>H5*1000/H6</f>
        <v/>
      </c>
    </row>
    <row r="8" ht="15" customHeight="1" s="76">
      <c r="B8" s="106" t="inlineStr">
        <is>
          <t>Avg. New ARR per Customer ($K)</t>
        </is>
      </c>
      <c r="C8" s="109" t="n">
        <v>28.4</v>
      </c>
      <c r="D8" s="109" t="n">
        <v>31.2</v>
      </c>
      <c r="E8" s="109" t="n">
        <v>36.8</v>
      </c>
      <c r="F8" s="109" t="n">
        <v>41.4</v>
      </c>
      <c r="G8" s="109" t="n">
        <v>46.2</v>
      </c>
      <c r="H8" s="109" t="n">
        <v>52.8</v>
      </c>
    </row>
    <row r="9" ht="15" customHeight="1" s="76">
      <c r="B9" s="119" t="inlineStr">
        <is>
          <t>Payback Period (months)</t>
        </is>
      </c>
      <c r="C9" s="120">
        <f>C7/(C8/12)</f>
        <v/>
      </c>
      <c r="D9" s="120">
        <f>D7/(D8/12)</f>
        <v/>
      </c>
      <c r="E9" s="120">
        <f>E7/(E8/12)</f>
        <v/>
      </c>
      <c r="F9" s="120">
        <f>F7/(F8/12)</f>
        <v/>
      </c>
      <c r="G9" s="120">
        <f>G7/(G8/12)</f>
        <v/>
      </c>
      <c r="H9" s="120">
        <f>H7/(H8/12)</f>
        <v/>
      </c>
    </row>
    <row r="10"/>
    <row r="11" ht="15.75" customHeight="1" s="76">
      <c r="B11" s="89" t="inlineStr">
        <is>
          <t>CUSTOMER LIFETIME VALUE (LTV)</t>
        </is>
      </c>
    </row>
    <row r="12" ht="15" customHeight="1" s="76">
      <c r="B12" s="90" t="inlineStr">
        <is>
          <t>Metric</t>
        </is>
      </c>
      <c r="C12" s="82" t="inlineStr">
        <is>
          <t>FY2022A</t>
        </is>
      </c>
      <c r="D12" s="82" t="inlineStr">
        <is>
          <t>FY2023A</t>
        </is>
      </c>
      <c r="E12" s="82" t="inlineStr">
        <is>
          <t>FY2024A</t>
        </is>
      </c>
      <c r="F12" s="82" t="inlineStr">
        <is>
          <t>FY2025E</t>
        </is>
      </c>
      <c r="G12" s="82" t="inlineStr">
        <is>
          <t>FY2026E</t>
        </is>
      </c>
      <c r="H12" s="82" t="inlineStr">
        <is>
          <t>FY2027E</t>
        </is>
      </c>
    </row>
    <row r="13" ht="15" customHeight="1" s="76">
      <c r="B13" s="106" t="inlineStr">
        <is>
          <t>Gross Margin %</t>
        </is>
      </c>
      <c r="C13" s="121" t="n">
        <v>0.68</v>
      </c>
      <c r="D13" s="121" t="n">
        <v>0.7</v>
      </c>
      <c r="E13" s="121" t="n">
        <v>0.724</v>
      </c>
      <c r="F13" s="121" t="n">
        <v>0.741</v>
      </c>
      <c r="G13" s="121" t="n">
        <v>0.758</v>
      </c>
      <c r="H13" s="121" t="n">
        <v>0.772</v>
      </c>
    </row>
    <row r="14" ht="15" customHeight="1" s="76">
      <c r="B14" s="106" t="inlineStr">
        <is>
          <t>Avg. Contract Life (years)</t>
        </is>
      </c>
      <c r="C14" s="122" t="n">
        <v>4.2</v>
      </c>
      <c r="D14" s="122" t="n">
        <v>4.6</v>
      </c>
      <c r="E14" s="122" t="n">
        <v>5.1</v>
      </c>
      <c r="F14" s="122" t="n">
        <v>5.8</v>
      </c>
      <c r="G14" s="122" t="n">
        <v>6.4</v>
      </c>
      <c r="H14" s="122" t="n">
        <v>7.1</v>
      </c>
    </row>
    <row r="15" ht="15" customHeight="1" s="76">
      <c r="B15" s="106" t="inlineStr">
        <is>
          <t>Annual Gross Profit / Customer ($K)</t>
        </is>
      </c>
      <c r="C15" s="114">
        <f>C8*C13</f>
        <v/>
      </c>
      <c r="D15" s="114">
        <f>D8*D13</f>
        <v/>
      </c>
      <c r="E15" s="114">
        <f>E8*E13</f>
        <v/>
      </c>
      <c r="F15" s="114">
        <f>F8*F13</f>
        <v/>
      </c>
      <c r="G15" s="114">
        <f>G8*G13</f>
        <v/>
      </c>
      <c r="H15" s="114">
        <f>H8*H13</f>
        <v/>
      </c>
    </row>
    <row r="16" ht="15" customHeight="1" s="76">
      <c r="B16" s="119" t="inlineStr">
        <is>
          <t>LTV ($K)</t>
        </is>
      </c>
      <c r="C16" s="123">
        <f>C15*C14</f>
        <v/>
      </c>
      <c r="D16" s="123">
        <f>D15*D14</f>
        <v/>
      </c>
      <c r="E16" s="123">
        <f>E15*E14</f>
        <v/>
      </c>
      <c r="F16" s="123">
        <f>F15*F14</f>
        <v/>
      </c>
      <c r="G16" s="123">
        <f>G15*G14</f>
        <v/>
      </c>
      <c r="H16" s="123">
        <f>H15*H14</f>
        <v/>
      </c>
    </row>
    <row r="17" ht="15" customHeight="1" s="76">
      <c r="B17" s="119" t="inlineStr">
        <is>
          <t>LTV / CAC Ratio</t>
        </is>
      </c>
      <c r="C17" s="124">
        <f>C16/C7</f>
        <v/>
      </c>
      <c r="D17" s="124">
        <f>D16/D7</f>
        <v/>
      </c>
      <c r="E17" s="124">
        <f>E16/E7</f>
        <v/>
      </c>
      <c r="F17" s="124">
        <f>F16/F7</f>
        <v/>
      </c>
      <c r="G17" s="124">
        <f>G16/G7</f>
        <v/>
      </c>
      <c r="H17" s="124">
        <f>H16/H7</f>
        <v/>
      </c>
    </row>
    <row r="18"/>
    <row r="19" ht="15.75" customHeight="1" s="76">
      <c r="B19" s="89" t="inlineStr">
        <is>
          <t>SEGMENT ANALYSIS: SMB vs. MID-MARKET</t>
        </is>
      </c>
    </row>
    <row r="20" ht="15" customHeight="1" s="76">
      <c r="B20" s="125" t="inlineStr">
        <is>
          <t>SMB Segment (&lt;$10K ACV)</t>
        </is>
      </c>
      <c r="F20" s="125" t="inlineStr">
        <is>
          <t>Mid-Market ($10K-$100K ACV)</t>
        </is>
      </c>
    </row>
    <row r="21" ht="15" customHeight="1" s="76">
      <c r="C21" s="82" t="inlineStr">
        <is>
          <t>FY2024A</t>
        </is>
      </c>
      <c r="D21" s="82" t="inlineStr">
        <is>
          <t>FY2025E</t>
        </is>
      </c>
      <c r="E21" s="82" t="inlineStr">
        <is>
          <t>FY2026E</t>
        </is>
      </c>
      <c r="F21" s="82" t="inlineStr">
        <is>
          <t>FY2024A</t>
        </is>
      </c>
      <c r="G21" s="82" t="inlineStr">
        <is>
          <t>FY2025E</t>
        </is>
      </c>
      <c r="H21" s="82" t="inlineStr">
        <is>
          <t>FY2026E</t>
        </is>
      </c>
    </row>
    <row r="22" ht="15" customHeight="1" s="76">
      <c r="B22" s="91" t="inlineStr">
        <is>
          <t>% of Logos</t>
        </is>
      </c>
      <c r="C22" s="126" t="inlineStr">
        <is>
          <t>72%</t>
        </is>
      </c>
      <c r="D22" s="126" t="inlineStr">
        <is>
          <t>71%</t>
        </is>
      </c>
      <c r="E22" s="126" t="inlineStr">
        <is>
          <t>70%</t>
        </is>
      </c>
      <c r="F22" s="126" t="inlineStr">
        <is>
          <t>28%</t>
        </is>
      </c>
      <c r="G22" s="126" t="inlineStr">
        <is>
          <t>29%</t>
        </is>
      </c>
      <c r="H22" s="126" t="inlineStr">
        <is>
          <t>30%</t>
        </is>
      </c>
    </row>
    <row r="23" ht="15" customHeight="1" s="76">
      <c r="B23" s="106" t="inlineStr">
        <is>
          <t>% of ARR</t>
        </is>
      </c>
      <c r="C23" s="127" t="inlineStr">
        <is>
          <t>34%</t>
        </is>
      </c>
      <c r="D23" s="127" t="inlineStr">
        <is>
          <t>33%</t>
        </is>
      </c>
      <c r="E23" s="127" t="inlineStr">
        <is>
          <t>31%</t>
        </is>
      </c>
      <c r="F23" s="127" t="inlineStr">
        <is>
          <t>66%</t>
        </is>
      </c>
      <c r="G23" s="127" t="inlineStr">
        <is>
          <t>67%</t>
        </is>
      </c>
      <c r="H23" s="127" t="inlineStr">
        <is>
          <t>69%</t>
        </is>
      </c>
    </row>
    <row r="24" ht="15" customHeight="1" s="76">
      <c r="B24" s="91" t="inlineStr">
        <is>
          <t>Avg. ACV ($K)</t>
        </is>
      </c>
      <c r="C24" s="126" t="inlineStr">
        <is>
          <t>$4.2K</t>
        </is>
      </c>
      <c r="D24" s="126" t="inlineStr">
        <is>
          <t>$4.8K</t>
        </is>
      </c>
      <c r="E24" s="126" t="inlineStr">
        <is>
          <t>$5.2K</t>
        </is>
      </c>
      <c r="F24" s="126" t="inlineStr">
        <is>
          <t>$42K</t>
        </is>
      </c>
      <c r="G24" s="126" t="inlineStr">
        <is>
          <t>$48K</t>
        </is>
      </c>
      <c r="H24" s="126" t="inlineStr">
        <is>
          <t>$55K</t>
        </is>
      </c>
    </row>
    <row r="25" ht="15" customHeight="1" s="76">
      <c r="B25" s="106" t="inlineStr">
        <is>
          <t>Logo Churn</t>
        </is>
      </c>
      <c r="C25" s="127" t="inlineStr">
        <is>
          <t>18%</t>
        </is>
      </c>
      <c r="D25" s="127" t="inlineStr">
        <is>
          <t>17%</t>
        </is>
      </c>
      <c r="E25" s="127" t="inlineStr">
        <is>
          <t>16%</t>
        </is>
      </c>
      <c r="F25" s="127" t="inlineStr">
        <is>
          <t>7%</t>
        </is>
      </c>
      <c r="G25" s="127" t="inlineStr">
        <is>
          <t>6%</t>
        </is>
      </c>
      <c r="H25" s="127" t="inlineStr">
        <is>
          <t>5%</t>
        </is>
      </c>
    </row>
    <row r="26" ht="15" customHeight="1" s="76">
      <c r="B26" s="91" t="inlineStr">
        <is>
          <t>NRR</t>
        </is>
      </c>
      <c r="C26" s="126" t="inlineStr">
        <is>
          <t>108%</t>
        </is>
      </c>
      <c r="D26" s="126" t="inlineStr">
        <is>
          <t>109%</t>
        </is>
      </c>
      <c r="E26" s="126" t="inlineStr">
        <is>
          <t>111%</t>
        </is>
      </c>
      <c r="F26" s="126" t="inlineStr">
        <is>
          <t>128%</t>
        </is>
      </c>
      <c r="G26" s="126" t="inlineStr">
        <is>
          <t>131%</t>
        </is>
      </c>
      <c r="H26" s="126" t="inlineStr">
        <is>
          <t>135%</t>
        </is>
      </c>
    </row>
    <row r="27" ht="15" customHeight="1" s="76">
      <c r="B27" s="106" t="inlineStr">
        <is>
          <t>CAC Payback (mo)</t>
        </is>
      </c>
      <c r="C27" s="127" t="inlineStr">
        <is>
          <t>12</t>
        </is>
      </c>
      <c r="D27" s="127" t="inlineStr">
        <is>
          <t>11</t>
        </is>
      </c>
      <c r="E27" s="127" t="inlineStr">
        <is>
          <t>10</t>
        </is>
      </c>
      <c r="F27" s="127" t="inlineStr">
        <is>
          <t>22</t>
        </is>
      </c>
      <c r="G27" s="127" t="inlineStr">
        <is>
          <t>20</t>
        </is>
      </c>
      <c r="H27" s="127" t="inlineStr">
        <is>
          <t>18</t>
        </is>
      </c>
    </row>
    <row r="28" ht="15" customHeight="1" s="76">
      <c r="B28" s="91" t="inlineStr">
        <is>
          <t>LTV/CAC</t>
        </is>
      </c>
      <c r="C28" s="126" t="inlineStr">
        <is>
          <t>3.1x</t>
        </is>
      </c>
      <c r="D28" s="126" t="inlineStr">
        <is>
          <t>3.4x</t>
        </is>
      </c>
      <c r="E28" s="126" t="inlineStr">
        <is>
          <t>3.8x</t>
        </is>
      </c>
      <c r="F28" s="126" t="inlineStr">
        <is>
          <t>5.8x</t>
        </is>
      </c>
      <c r="G28" s="126" t="inlineStr">
        <is>
          <t>6.4x</t>
        </is>
      </c>
      <c r="H28" s="126" t="inlineStr">
        <is>
          <t>7.2x</t>
        </is>
      </c>
    </row>
    <row r="29"/>
    <row r="30"/>
    <row r="31" ht="15.75" customHeight="1" s="76">
      <c r="B31" s="89" t="inlineStr">
        <is>
          <t>RULE OF 40 &amp; EFFICIENCY METRICS</t>
        </is>
      </c>
    </row>
    <row r="32" ht="15" customHeight="1" s="76">
      <c r="B32" s="90" t="inlineStr">
        <is>
          <t>Metric</t>
        </is>
      </c>
      <c r="C32" s="82" t="inlineStr">
        <is>
          <t>FY2022A</t>
        </is>
      </c>
      <c r="D32" s="82" t="inlineStr">
        <is>
          <t>FY2023A</t>
        </is>
      </c>
      <c r="E32" s="82" t="inlineStr">
        <is>
          <t>FY2024A</t>
        </is>
      </c>
      <c r="F32" s="82" t="inlineStr">
        <is>
          <t>FY2025E</t>
        </is>
      </c>
      <c r="G32" s="82" t="inlineStr">
        <is>
          <t>FY2026E</t>
        </is>
      </c>
      <c r="H32" s="82" t="inlineStr">
        <is>
          <t>FY2027E</t>
        </is>
      </c>
    </row>
    <row r="33" ht="15" customHeight="1" s="76">
      <c r="B33" s="106" t="inlineStr">
        <is>
          <t>Revenue Growth %</t>
        </is>
      </c>
      <c r="C33" s="108" t="inlineStr">
        <is>
          <t>N/A</t>
        </is>
      </c>
      <c r="D33" s="121" t="n">
        <v>42.8</v>
      </c>
      <c r="E33" s="121" t="n">
        <v>44.2</v>
      </c>
      <c r="F33" s="121" t="n">
        <v>42.4</v>
      </c>
      <c r="G33" s="121" t="n">
        <v>39.4</v>
      </c>
      <c r="H33" s="121" t="n">
        <v>38.1</v>
      </c>
    </row>
    <row r="34" ht="15" customHeight="1" s="76">
      <c r="B34" s="106" t="inlineStr">
        <is>
          <t>FCF Margin %</t>
        </is>
      </c>
      <c r="C34" s="121" t="n">
        <v>-18.2</v>
      </c>
      <c r="D34" s="121" t="n">
        <v>-12.4</v>
      </c>
      <c r="E34" s="121" t="n">
        <v>-6.2</v>
      </c>
      <c r="F34" s="121" t="n">
        <v>1.8</v>
      </c>
      <c r="G34" s="121" t="n">
        <v>8.4</v>
      </c>
      <c r="H34" s="121" t="n">
        <v>14.2</v>
      </c>
    </row>
    <row r="35" ht="15" customHeight="1" s="76">
      <c r="B35" s="119" t="inlineStr">
        <is>
          <t>Rule of 40 Score</t>
        </is>
      </c>
      <c r="C35" s="120" t="inlineStr">
        <is>
          <t>N/A</t>
        </is>
      </c>
      <c r="D35" s="120">
        <f>D33+D34</f>
        <v/>
      </c>
      <c r="E35" s="120">
        <f>E33+E34</f>
        <v/>
      </c>
      <c r="F35" s="120">
        <f>F33+F34</f>
        <v/>
      </c>
      <c r="G35" s="120">
        <f>G33+G34</f>
        <v/>
      </c>
      <c r="H35" s="120">
        <f>H33+H34</f>
        <v/>
      </c>
    </row>
    <row r="36" ht="15" customHeight="1" s="76">
      <c r="B36" s="106" t="inlineStr">
        <is>
          <t>Magic Number (Efficiency Score)</t>
        </is>
      </c>
      <c r="C36" s="128" t="n">
        <v>0.42</v>
      </c>
      <c r="D36" s="128" t="n">
        <v>0.58</v>
      </c>
      <c r="E36" s="128" t="n">
        <v>0.74</v>
      </c>
      <c r="F36" s="128" t="n">
        <v>0.88</v>
      </c>
      <c r="G36" s="128" t="n">
        <v>1.02</v>
      </c>
      <c r="H36" s="128" t="n">
        <v>1.18</v>
      </c>
    </row>
    <row r="37" ht="15" customHeight="1" s="76">
      <c r="B37" s="106" t="inlineStr">
        <is>
          <t>Burn Multiple</t>
        </is>
      </c>
      <c r="C37" s="129" t="n">
        <v>3.8</v>
      </c>
      <c r="D37" s="129" t="n">
        <v>2.6</v>
      </c>
      <c r="E37" s="129" t="n">
        <v>1.4</v>
      </c>
      <c r="F37" s="129" t="n">
        <v>0.8</v>
      </c>
      <c r="G37" s="129" t="n">
        <v>0.4</v>
      </c>
      <c r="H37" s="129" t="n">
        <v>0.2</v>
      </c>
    </row>
  </sheetData>
  <mergeCells count="7">
    <mergeCell ref="F20:H20"/>
    <mergeCell ref="B1:H1"/>
    <mergeCell ref="B11:H11"/>
    <mergeCell ref="B20:E20"/>
    <mergeCell ref="B3:H3"/>
    <mergeCell ref="B19:H19"/>
    <mergeCell ref="B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5" min="1" max="1"/>
    <col width="16" customWidth="1" style="75" min="2" max="2"/>
    <col width="11" customWidth="1" style="75" min="3" max="10"/>
  </cols>
  <sheetData>
    <row r="1" ht="15.75" customHeight="1" s="76">
      <c r="B1" s="87" t="inlineStr">
        <is>
          <t>CLOUDPULSE — REVENUE COHORT RETENTION ANALYSIS</t>
        </is>
      </c>
    </row>
    <row r="2" ht="15" customHeight="1" s="76">
      <c r="B2" s="88" t="inlineStr">
        <is>
          <t>Revenue retention by acquisition cohort year | % of Initial ARR retained in subsequent years</t>
        </is>
      </c>
    </row>
    <row r="3"/>
    <row r="4" ht="15" customHeight="1" s="76">
      <c r="B4" s="82" t="inlineStr">
        <is>
          <t>Cohort Year</t>
        </is>
      </c>
      <c r="C4" s="130" t="inlineStr">
        <is>
          <t>Yr 0
(Acq)</t>
        </is>
      </c>
      <c r="D4" s="82" t="inlineStr">
        <is>
          <t>Yr 1</t>
        </is>
      </c>
      <c r="E4" s="82" t="inlineStr">
        <is>
          <t>Yr 2</t>
        </is>
      </c>
      <c r="F4" s="82" t="inlineStr">
        <is>
          <t>Yr 3</t>
        </is>
      </c>
      <c r="G4" s="82" t="inlineStr">
        <is>
          <t>Yr 4</t>
        </is>
      </c>
      <c r="H4" s="82" t="inlineStr">
        <is>
          <t>Yr 5</t>
        </is>
      </c>
      <c r="I4" s="82" t="inlineStr">
        <is>
          <t>Yr 6</t>
        </is>
      </c>
      <c r="J4" s="82" t="inlineStr">
        <is>
          <t>Yr 7</t>
        </is>
      </c>
    </row>
    <row r="5" ht="15" customHeight="1" s="76"/>
    <row r="6" ht="15" customHeight="1" s="76">
      <c r="B6" s="82" t="inlineStr">
        <is>
          <t>2018</t>
        </is>
      </c>
      <c r="C6" s="131" t="n">
        <v>1</v>
      </c>
      <c r="D6" s="132" t="n">
        <v>1.12</v>
      </c>
      <c r="E6" s="133" t="n">
        <v>1.22</v>
      </c>
      <c r="F6" s="134" t="n">
        <v>1.3</v>
      </c>
      <c r="G6" s="134" t="n">
        <v>1.36</v>
      </c>
      <c r="H6" s="135" t="n">
        <v>1.41</v>
      </c>
      <c r="I6" s="135" t="n">
        <v>1.44</v>
      </c>
      <c r="J6" s="135" t="n">
        <v>1.46</v>
      </c>
    </row>
    <row r="7" ht="15" customHeight="1" s="76">
      <c r="B7" s="82" t="inlineStr">
        <is>
          <t>2019</t>
        </is>
      </c>
      <c r="C7" s="131" t="n">
        <v>1</v>
      </c>
      <c r="D7" s="132" t="n">
        <v>1.1</v>
      </c>
      <c r="E7" s="133" t="n">
        <v>1.21</v>
      </c>
      <c r="F7" s="133" t="n">
        <v>1.29</v>
      </c>
      <c r="G7" s="134" t="n">
        <v>1.35</v>
      </c>
      <c r="H7" s="135" t="n">
        <v>1.4</v>
      </c>
      <c r="I7" s="135" t="n">
        <v>1.44</v>
      </c>
      <c r="J7" s="136" t="inlineStr">
        <is>
          <t>—</t>
        </is>
      </c>
    </row>
    <row r="8" ht="15" customHeight="1" s="76">
      <c r="B8" s="82" t="inlineStr">
        <is>
          <t>2020</t>
        </is>
      </c>
      <c r="C8" s="131" t="n">
        <v>1</v>
      </c>
      <c r="D8" s="137" t="n">
        <v>1.08</v>
      </c>
      <c r="E8" s="132" t="n">
        <v>1.18</v>
      </c>
      <c r="F8" s="133" t="n">
        <v>1.27</v>
      </c>
      <c r="G8" s="134" t="n">
        <v>1.34</v>
      </c>
      <c r="H8" s="134" t="n">
        <v>1.39</v>
      </c>
      <c r="I8" s="136" t="inlineStr">
        <is>
          <t>—</t>
        </is>
      </c>
      <c r="J8" s="136" t="inlineStr">
        <is>
          <t>—</t>
        </is>
      </c>
    </row>
    <row r="9" ht="15" customHeight="1" s="76">
      <c r="B9" s="82" t="inlineStr">
        <is>
          <t>2021</t>
        </is>
      </c>
      <c r="C9" s="131" t="n">
        <v>1</v>
      </c>
      <c r="D9" s="132" t="n">
        <v>1.12</v>
      </c>
      <c r="E9" s="133" t="n">
        <v>1.24</v>
      </c>
      <c r="F9" s="134" t="n">
        <v>1.33</v>
      </c>
      <c r="G9" s="134" t="n">
        <v>1.39</v>
      </c>
      <c r="H9" s="136" t="inlineStr">
        <is>
          <t>—</t>
        </is>
      </c>
      <c r="I9" s="136" t="inlineStr">
        <is>
          <t>—</t>
        </is>
      </c>
      <c r="J9" s="136" t="inlineStr">
        <is>
          <t>—</t>
        </is>
      </c>
    </row>
    <row r="10" ht="15" customHeight="1" s="76">
      <c r="B10" s="82" t="inlineStr">
        <is>
          <t>2022</t>
        </is>
      </c>
      <c r="C10" s="131" t="n">
        <v>1</v>
      </c>
      <c r="D10" s="132" t="n">
        <v>1.14</v>
      </c>
      <c r="E10" s="133" t="n">
        <v>1.27</v>
      </c>
      <c r="F10" s="134" t="n">
        <v>1.36</v>
      </c>
      <c r="G10" s="136" t="inlineStr">
        <is>
          <t>—</t>
        </is>
      </c>
      <c r="H10" s="136" t="inlineStr">
        <is>
          <t>—</t>
        </is>
      </c>
      <c r="I10" s="136" t="inlineStr">
        <is>
          <t>—</t>
        </is>
      </c>
      <c r="J10" s="136" t="inlineStr">
        <is>
          <t>—</t>
        </is>
      </c>
    </row>
    <row r="11" ht="15" customHeight="1" s="76">
      <c r="B11" s="82" t="inlineStr">
        <is>
          <t>2023</t>
        </is>
      </c>
      <c r="C11" s="131" t="n">
        <v>1</v>
      </c>
      <c r="D11" s="132" t="n">
        <v>1.16</v>
      </c>
      <c r="E11" s="134" t="n">
        <v>1.3</v>
      </c>
      <c r="F11" s="136" t="inlineStr">
        <is>
          <t>—</t>
        </is>
      </c>
      <c r="G11" s="136" t="inlineStr">
        <is>
          <t>—</t>
        </is>
      </c>
      <c r="H11" s="136" t="inlineStr">
        <is>
          <t>—</t>
        </is>
      </c>
      <c r="I11" s="136" t="inlineStr">
        <is>
          <t>—</t>
        </is>
      </c>
      <c r="J11" s="136" t="inlineStr">
        <is>
          <t>—</t>
        </is>
      </c>
    </row>
    <row r="12" ht="15" customHeight="1" s="76">
      <c r="B12" s="82" t="inlineStr">
        <is>
          <t>2024</t>
        </is>
      </c>
      <c r="C12" s="131" t="n">
        <v>1</v>
      </c>
      <c r="D12" s="132" t="n">
        <v>1.18</v>
      </c>
      <c r="E12" s="136" t="inlineStr">
        <is>
          <t>—</t>
        </is>
      </c>
      <c r="F12" s="136" t="inlineStr">
        <is>
          <t>—</t>
        </is>
      </c>
      <c r="G12" s="136" t="inlineStr">
        <is>
          <t>—</t>
        </is>
      </c>
      <c r="H12" s="136" t="inlineStr">
        <is>
          <t>—</t>
        </is>
      </c>
      <c r="I12" s="136" t="inlineStr">
        <is>
          <t>—</t>
        </is>
      </c>
      <c r="J12" s="136" t="inlineStr">
        <is>
          <t>—</t>
        </is>
      </c>
    </row>
    <row r="13" ht="15" customHeight="1" s="76">
      <c r="B13" s="82" t="inlineStr">
        <is>
          <t>2025E</t>
        </is>
      </c>
      <c r="C13" s="131" t="n">
        <v>1</v>
      </c>
      <c r="D13" s="136" t="inlineStr">
        <is>
          <t>—</t>
        </is>
      </c>
      <c r="E13" s="136" t="inlineStr">
        <is>
          <t>—</t>
        </is>
      </c>
      <c r="F13" s="136" t="inlineStr">
        <is>
          <t>—</t>
        </is>
      </c>
      <c r="G13" s="136" t="inlineStr">
        <is>
          <t>—</t>
        </is>
      </c>
      <c r="H13" s="136" t="inlineStr">
        <is>
          <t>—</t>
        </is>
      </c>
      <c r="I13" s="136" t="inlineStr">
        <is>
          <t>—</t>
        </is>
      </c>
      <c r="J13" s="136" t="inlineStr">
        <is>
          <t>—</t>
        </is>
      </c>
    </row>
    <row r="14"/>
    <row r="15" ht="15" customHeight="1" s="76">
      <c r="B15" s="138" t="inlineStr">
        <is>
          <t>Average</t>
        </is>
      </c>
      <c r="C15" s="139" t="n">
        <v>1</v>
      </c>
      <c r="D15" s="139" t="n">
        <v>1.14</v>
      </c>
      <c r="E15" s="139" t="n">
        <v>1.24</v>
      </c>
      <c r="F15" s="139" t="n">
        <v>1.31</v>
      </c>
      <c r="G15" s="139" t="n">
        <v>1.36</v>
      </c>
      <c r="H15" s="139" t="n">
        <v>1.4</v>
      </c>
      <c r="I15" s="139" t="n">
        <v>1.44</v>
      </c>
      <c r="J15" s="139" t="n">
        <v>1.46</v>
      </c>
    </row>
    <row r="16"/>
    <row r="17" ht="15" customHeight="1" s="76">
      <c r="B17" s="140" t="inlineStr">
        <is>
          <t>Retention Legend:</t>
        </is>
      </c>
      <c r="C17" s="141" t="inlineStr">
        <is>
          <t>≥140%</t>
        </is>
      </c>
      <c r="D17" s="142" t="inlineStr">
        <is>
          <t>130-139%</t>
        </is>
      </c>
      <c r="E17" s="143" t="inlineStr">
        <is>
          <t>120-129%</t>
        </is>
      </c>
      <c r="F17" s="144" t="inlineStr">
        <is>
          <t>110-119%</t>
        </is>
      </c>
      <c r="G17" s="145" t="inlineStr">
        <is>
          <t>100-109%</t>
        </is>
      </c>
      <c r="H17" s="146" t="inlineStr">
        <is>
          <t>&lt;100%</t>
        </is>
      </c>
      <c r="I17" s="147" t="inlineStr">
        <is>
          <t>Future</t>
        </is>
      </c>
    </row>
    <row r="18"/>
    <row r="19" ht="15" customHeight="1" s="76">
      <c r="B19" s="148" t="inlineStr">
        <is>
          <t>Initial Cohort ARR ($mm)</t>
        </is>
      </c>
    </row>
    <row r="20" ht="15" customHeight="1" s="76">
      <c r="B20" s="82" t="inlineStr">
        <is>
          <t>Cohort Year</t>
        </is>
      </c>
      <c r="C20" s="82" t="inlineStr">
        <is>
          <t>2018</t>
        </is>
      </c>
      <c r="D20" s="82" t="inlineStr">
        <is>
          <t>2019</t>
        </is>
      </c>
      <c r="E20" s="82" t="inlineStr">
        <is>
          <t>2020</t>
        </is>
      </c>
      <c r="F20" s="82" t="inlineStr">
        <is>
          <t>2021</t>
        </is>
      </c>
      <c r="G20" s="82" t="inlineStr">
        <is>
          <t>2022</t>
        </is>
      </c>
      <c r="H20" s="82" t="inlineStr">
        <is>
          <t>2023</t>
        </is>
      </c>
      <c r="I20" s="82" t="inlineStr">
        <is>
          <t>2024</t>
        </is>
      </c>
      <c r="J20" s="82" t="inlineStr">
        <is>
          <t>2025E</t>
        </is>
      </c>
    </row>
    <row r="21" ht="15" customHeight="1" s="76">
      <c r="B21" s="91" t="inlineStr">
        <is>
          <t>Initial ARR ($mm)</t>
        </is>
      </c>
      <c r="C21" s="105" t="n">
        <v>2.8</v>
      </c>
      <c r="D21" s="109" t="n">
        <v>4.2</v>
      </c>
      <c r="E21" s="105" t="n">
        <v>6.1</v>
      </c>
      <c r="F21" s="109" t="n">
        <v>8.4</v>
      </c>
      <c r="G21" s="105" t="n">
        <v>11.2</v>
      </c>
      <c r="H21" s="109" t="n">
        <v>15.8</v>
      </c>
      <c r="I21" s="105" t="n">
        <v>22.4</v>
      </c>
      <c r="J21" s="109" t="n">
        <v>31.2</v>
      </c>
    </row>
  </sheetData>
  <mergeCells count="12">
    <mergeCell ref="B19:J19"/>
    <mergeCell ref="B4:B5"/>
    <mergeCell ref="C4:C5"/>
    <mergeCell ref="F4:F5"/>
    <mergeCell ref="D4:D5"/>
    <mergeCell ref="E4:E5"/>
    <mergeCell ref="G4:G5"/>
    <mergeCell ref="H4:H5"/>
    <mergeCell ref="I4:I5"/>
    <mergeCell ref="J4:J5"/>
    <mergeCell ref="B1:J1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2026-03-17T00:07:06Z</dcterms:created>
  <dcterms:modified xmlns:dcterms="http://purl.org/dc/terms/" xmlns:xsi="http://www.w3.org/2001/XMLSchema-instance" xsi:type="dcterms:W3CDTF">2026-03-25T21:54:07Z</dcterms:modified>
  <cp:revision>0</cp:revision>
</cp:coreProperties>
</file>