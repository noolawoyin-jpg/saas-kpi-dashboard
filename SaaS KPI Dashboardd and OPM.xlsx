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RR &amp; MRR" sheetId="2" state="visible" r:id="rId4"/>
    <sheet name="Unit Economics" sheetId="3" state="visible" r:id="rId5"/>
    <sheet name="Cohort Analysi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<sst xmlns="http://schemas.openxmlformats.org/spreadsheetml/2006/main" count="268" uniqueCount="175">
  <si>
    <t xml:space="preserve">CLOUDPULSE SaaS ANALYTICS</t>
  </si>
  <si>
    <t xml:space="preserve">SaaS Revenue &amp; KPI Financial Model | ARR, Cohort &amp; Unit Economics Analysis</t>
  </si>
  <si>
    <t xml:space="preserve">B2B SaaS | SMB &amp; Mid-Market Segments | Subscription Revenue Focus</t>
  </si>
  <si>
    <t xml:space="preserve">KEY SaaS METRICS SNAPSHOT (FY2024A)</t>
  </si>
  <si>
    <t xml:space="preserve">KPI</t>
  </si>
  <si>
    <t xml:space="preserve">FY2024A</t>
  </si>
  <si>
    <t xml:space="preserve">FY2025E</t>
  </si>
  <si>
    <t xml:space="preserve">FY2026E</t>
  </si>
  <si>
    <t xml:space="preserve">ARR ($mm)</t>
  </si>
  <si>
    <t xml:space="preserve">$48.2</t>
  </si>
  <si>
    <t xml:space="preserve">$68.6</t>
  </si>
  <si>
    <t xml:space="preserve">$95.6</t>
  </si>
  <si>
    <t xml:space="preserve">ARR Growth YoY</t>
  </si>
  <si>
    <t xml:space="preserve">42.1%</t>
  </si>
  <si>
    <t xml:space="preserve">42.4%</t>
  </si>
  <si>
    <t xml:space="preserve">39.4%</t>
  </si>
  <si>
    <t xml:space="preserve">Monthly Recurring Revenue ($mm)</t>
  </si>
  <si>
    <t xml:space="preserve">$4.0</t>
  </si>
  <si>
    <t xml:space="preserve">$5.7</t>
  </si>
  <si>
    <t xml:space="preserve">$8.0</t>
  </si>
  <si>
    <t xml:space="preserve">Net Revenue Retention</t>
  </si>
  <si>
    <t xml:space="preserve">118%</t>
  </si>
  <si>
    <t xml:space="preserve">121%</t>
  </si>
  <si>
    <t xml:space="preserve">124%</t>
  </si>
  <si>
    <t xml:space="preserve">Gross Revenue Retention</t>
  </si>
  <si>
    <t xml:space="preserve">88%</t>
  </si>
  <si>
    <t xml:space="preserve">89%</t>
  </si>
  <si>
    <t xml:space="preserve">90%</t>
  </si>
  <si>
    <t xml:space="preserve">Logo Churn Rate</t>
  </si>
  <si>
    <t xml:space="preserve">12.0%</t>
  </si>
  <si>
    <t xml:space="preserve">11.0%</t>
  </si>
  <si>
    <t xml:space="preserve">10.0%</t>
  </si>
  <si>
    <t xml:space="preserve">CAC Payback Period (months)</t>
  </si>
  <si>
    <t xml:space="preserve">18</t>
  </si>
  <si>
    <t xml:space="preserve">16</t>
  </si>
  <si>
    <t xml:space="preserve">14</t>
  </si>
  <si>
    <t xml:space="preserve">LTV / CAC Ratio</t>
  </si>
  <si>
    <t xml:space="preserve">4.2x</t>
  </si>
  <si>
    <t xml:space="preserve">5.1x</t>
  </si>
  <si>
    <t xml:space="preserve">6.2x</t>
  </si>
  <si>
    <t xml:space="preserve">Rule of 40 Score</t>
  </si>
  <si>
    <t xml:space="preserve">58</t>
  </si>
  <si>
    <t xml:space="preserve">67</t>
  </si>
  <si>
    <t xml:space="preserve">75</t>
  </si>
  <si>
    <t xml:space="preserve">CLOUDPULSE — ARR WATERFALL &amp; SUBSCRIPTION METRICS</t>
  </si>
  <si>
    <t xml:space="preserve">All figures in USD millions unless noted | Annual Recurring Revenue Bridge</t>
  </si>
  <si>
    <t xml:space="preserve">ARR WATERFALL ($mm)</t>
  </si>
  <si>
    <t xml:space="preserve">Metric</t>
  </si>
  <si>
    <t xml:space="preserve">FY2022A</t>
  </si>
  <si>
    <t xml:space="preserve">FY2023A</t>
  </si>
  <si>
    <t xml:space="preserve">FY2027E</t>
  </si>
  <si>
    <t xml:space="preserve">Beginning ARR</t>
  </si>
  <si>
    <t xml:space="preserve">New ARR (New Logos)</t>
  </si>
  <si>
    <t xml:space="preserve">Expansion ARR (Upsell)</t>
  </si>
  <si>
    <t xml:space="preserve">Contraction ARR</t>
  </si>
  <si>
    <t xml:space="preserve">Churned ARR</t>
  </si>
  <si>
    <t xml:space="preserve">Ending ARR</t>
  </si>
  <si>
    <t xml:space="preserve">  ARR Growth YoY</t>
  </si>
  <si>
    <t xml:space="preserve">N/A</t>
  </si>
  <si>
    <t xml:space="preserve">MONTHLY RECURRING REVENUE &amp; BOOKINGS</t>
  </si>
  <si>
    <t xml:space="preserve">Monthly Recurring Revenue (MRR)</t>
  </si>
  <si>
    <t xml:space="preserve">  MRR Growth YoY</t>
  </si>
  <si>
    <t xml:space="preserve">Annual Contract Value (ACV, $mm)</t>
  </si>
  <si>
    <t xml:space="preserve">Total Bookings ($mm)</t>
  </si>
  <si>
    <t xml:space="preserve">  Book-to-Bill Ratio</t>
  </si>
  <si>
    <t xml:space="preserve">CUSTOMER / LOGO METRICS</t>
  </si>
  <si>
    <t xml:space="preserve">Beginning Logos</t>
  </si>
  <si>
    <t xml:space="preserve">New Logos Added</t>
  </si>
  <si>
    <t xml:space="preserve">Churned Logos</t>
  </si>
  <si>
    <t xml:space="preserve">Ending Logos (Customers)</t>
  </si>
  <si>
    <t xml:space="preserve">Average ARR per Customer ($K)</t>
  </si>
  <si>
    <t xml:space="preserve">RETENTION &amp; COHORT METRICS</t>
  </si>
  <si>
    <t xml:space="preserve">Net Revenue Retention (NRR)</t>
  </si>
  <si>
    <t xml:space="preserve">Gross Revenue Retention (GRR)</t>
  </si>
  <si>
    <t xml:space="preserve">Net Dollar Expansion Rate</t>
  </si>
  <si>
    <t xml:space="preserve">Quick Ratio (New+Exp / Churn+Contr)</t>
  </si>
  <si>
    <t xml:space="preserve">CLOUDPULSE — UNIT ECONOMICS &amp; LTV/CAC ANALYSIS</t>
  </si>
  <si>
    <t xml:space="preserve">CUSTOMER ACQUISITION COSTS (CAC)</t>
  </si>
  <si>
    <t xml:space="preserve">S&amp;M Spend ($mm)</t>
  </si>
  <si>
    <t xml:space="preserve">New Customers Acquired</t>
  </si>
  <si>
    <t xml:space="preserve">Blended CAC ($K)</t>
  </si>
  <si>
    <t xml:space="preserve">Avg. New ARR per Customer ($K)</t>
  </si>
  <si>
    <t xml:space="preserve">Payback Period (months)</t>
  </si>
  <si>
    <t xml:space="preserve">CUSTOMER LIFETIME VALUE (LTV)</t>
  </si>
  <si>
    <t xml:space="preserve">Gross Margin %</t>
  </si>
  <si>
    <t xml:space="preserve">Avg. Contract Life (years)</t>
  </si>
  <si>
    <t xml:space="preserve">Annual Gross Profit / Customer ($K)</t>
  </si>
  <si>
    <t xml:space="preserve">LTV ($K)</t>
  </si>
  <si>
    <t xml:space="preserve">SEGMENT ANALYSIS: SMB vs. MID-MARKET</t>
  </si>
  <si>
    <t xml:space="preserve">SMB Segment (&lt;$10K ACV)</t>
  </si>
  <si>
    <t xml:space="preserve">Mid-Market ($10K-$100K ACV)</t>
  </si>
  <si>
    <t xml:space="preserve">% of Logos</t>
  </si>
  <si>
    <t xml:space="preserve">72%</t>
  </si>
  <si>
    <t xml:space="preserve">71%</t>
  </si>
  <si>
    <t xml:space="preserve">70%</t>
  </si>
  <si>
    <t xml:space="preserve">28%</t>
  </si>
  <si>
    <t xml:space="preserve">29%</t>
  </si>
  <si>
    <t xml:space="preserve">30%</t>
  </si>
  <si>
    <t xml:space="preserve">% of ARR</t>
  </si>
  <si>
    <t xml:space="preserve">34%</t>
  </si>
  <si>
    <t xml:space="preserve">33%</t>
  </si>
  <si>
    <t xml:space="preserve">31%</t>
  </si>
  <si>
    <t xml:space="preserve">66%</t>
  </si>
  <si>
    <t xml:space="preserve">67%</t>
  </si>
  <si>
    <t xml:space="preserve">69%</t>
  </si>
  <si>
    <t xml:space="preserve">Avg. ACV ($K)</t>
  </si>
  <si>
    <t xml:space="preserve">$4.2K</t>
  </si>
  <si>
    <t xml:space="preserve">$4.8K</t>
  </si>
  <si>
    <t xml:space="preserve">$5.2K</t>
  </si>
  <si>
    <t xml:space="preserve">$42K</t>
  </si>
  <si>
    <t xml:space="preserve">$48K</t>
  </si>
  <si>
    <t xml:space="preserve">$55K</t>
  </si>
  <si>
    <t xml:space="preserve">Logo Churn</t>
  </si>
  <si>
    <t xml:space="preserve">18%</t>
  </si>
  <si>
    <t xml:space="preserve">17%</t>
  </si>
  <si>
    <t xml:space="preserve">16%</t>
  </si>
  <si>
    <t xml:space="preserve">7%</t>
  </si>
  <si>
    <t xml:space="preserve">6%</t>
  </si>
  <si>
    <t xml:space="preserve">5%</t>
  </si>
  <si>
    <t xml:space="preserve">NRR</t>
  </si>
  <si>
    <t xml:space="preserve">108%</t>
  </si>
  <si>
    <t xml:space="preserve">109%</t>
  </si>
  <si>
    <t xml:space="preserve">111%</t>
  </si>
  <si>
    <t xml:space="preserve">128%</t>
  </si>
  <si>
    <t xml:space="preserve">131%</t>
  </si>
  <si>
    <t xml:space="preserve">135%</t>
  </si>
  <si>
    <t xml:space="preserve">CAC Payback (mo)</t>
  </si>
  <si>
    <t xml:space="preserve">12</t>
  </si>
  <si>
    <t xml:space="preserve">11</t>
  </si>
  <si>
    <t xml:space="preserve">10</t>
  </si>
  <si>
    <t xml:space="preserve">22</t>
  </si>
  <si>
    <t xml:space="preserve">20</t>
  </si>
  <si>
    <t xml:space="preserve">LTV/CAC</t>
  </si>
  <si>
    <t xml:space="preserve">3.1x</t>
  </si>
  <si>
    <t xml:space="preserve">3.4x</t>
  </si>
  <si>
    <t xml:space="preserve">3.8x</t>
  </si>
  <si>
    <t xml:space="preserve">5.8x</t>
  </si>
  <si>
    <t xml:space="preserve">6.4x</t>
  </si>
  <si>
    <t xml:space="preserve">7.2x</t>
  </si>
  <si>
    <t xml:space="preserve">RULE OF 40 &amp; EFFICIENCY METRICS</t>
  </si>
  <si>
    <t xml:space="preserve">Revenue Growth %</t>
  </si>
  <si>
    <t xml:space="preserve">FCF Margin %</t>
  </si>
  <si>
    <t xml:space="preserve">Magic Number (Efficiency Score)</t>
  </si>
  <si>
    <t xml:space="preserve">Burn Multiple</t>
  </si>
  <si>
    <t xml:space="preserve">CLOUDPULSE — REVENUE COHORT RETENTION ANALYSIS</t>
  </si>
  <si>
    <t xml:space="preserve">Revenue retention by acquisition cohort year | % of Initial ARR retained in subsequent years</t>
  </si>
  <si>
    <t xml:space="preserve">Cohort Year</t>
  </si>
  <si>
    <t xml:space="preserve">Yr 0
(Acq)</t>
  </si>
  <si>
    <t xml:space="preserve">Yr 1</t>
  </si>
  <si>
    <t xml:space="preserve">Yr 2</t>
  </si>
  <si>
    <t xml:space="preserve">Yr 3</t>
  </si>
  <si>
    <t xml:space="preserve">Yr 4</t>
  </si>
  <si>
    <t xml:space="preserve">Yr 5</t>
  </si>
  <si>
    <t xml:space="preserve">Yr 6</t>
  </si>
  <si>
    <t xml:space="preserve">Yr 7</t>
  </si>
  <si>
    <t xml:space="preserve">2018</t>
  </si>
  <si>
    <t xml:space="preserve">2019</t>
  </si>
  <si>
    <t xml:space="preserve">—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</si>
  <si>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</si>
  <si>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</si>
  <si>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</si>
  <si>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</si>
  <si>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</si>
  <si>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2025E</t>
  </si>
  <si>
    <t xml:space="preserve">Average</t>
  </si>
  <si>
    <t xml:space="preserve">Retention Legend:</t>
  </si>
  <si>
    <t xml:space="preserve">≥140%</t>
  </si>
  <si>
    <t xml:space="preserve">130-139%</t>
  </si>
  <si>
    <t xml:space="preserve">120-129%</t>
  </si>
  <si>
    <t xml:space="preserve">110-119%</t>
  </si>
  <si>
    <t xml:space="preserve">100-109%</t>
  </si>
  <si>
    <t xml:space="preserve">&lt;100%</t>
  </si>
  <si>
    <t xml:space="preserve">Future</t>
  </si>
  <si>
    <t xml:space="preserve">Initial Cohort ARR ($mm)</t>
  </si>
  <si>
    <t xml:space="preserve">Initial ARR ($mm)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</si>
</sst>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;&quot;($&quot;#,##0.0\);\-"/>
    <numFmt numFmtId="166" formatCode="0.0%"/>
    <numFmt numFmtId="167" formatCode="\$#,##0.0"/>
    <numFmt numFmtId="168" formatCode="0.0\x"/>
    <numFmt numFmtId="169" formatCode="#,##0"/>
    <numFmt numFmtId="170" formatCode="0%"/>
    <numFmt numFmtId="171" formatCode="0.0"/>
    <numFmt numFmtId="172" formatCode="0.00\x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1F3864"/>
      <name val="Arial"/>
      <family val="0"/>
      <charset val="1"/>
    </font>
    <font>
      <sz val="11"/>
      <color rgb="FF59595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sz val="9"/>
      <color rgb="FF00B050"/>
      <name val="Arial"/>
      <family val="0"/>
      <charset val="1"/>
    </font>
    <font>
      <sz val="9"/>
      <color rgb="FFFF0000"/>
      <name val="Arial"/>
      <family val="0"/>
      <charset val="1"/>
    </font>
    <font>
      <sz val="9"/>
      <color rgb="FF595959"/>
      <name val="Arial"/>
      <family val="0"/>
      <charset val="1"/>
    </font>
    <font>
      <sz val="9"/>
      <color rgb="FF0000F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8"/>
      <color rgb="FF595959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9B59B6"/>
        <bgColor rgb="FF7B4FB6"/>
      </patternFill>
    </fill>
    <fill>
      <patternFill patternType="solid">
        <fgColor rgb="FF7B4FB6"/>
        <bgColor rgb="FF9B59B6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  <fill>
      <patternFill patternType="solid">
        <fgColor rgb="FF3B1F64"/>
        <bgColor rgb="FF1F3864"/>
      </patternFill>
    </fill>
    <fill>
      <patternFill patternType="solid">
        <fgColor rgb="FFC9B8E8"/>
        <bgColor rgb="FFCC99FF"/>
      </patternFill>
    </fill>
    <fill>
      <patternFill patternType="solid">
        <fgColor rgb="FFFF7F00"/>
        <bgColor rgb="FFFF9900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69696"/>
      </patternFill>
    </fill>
    <fill>
      <patternFill patternType="solid">
        <fgColor rgb="FF00B050"/>
        <bgColor rgb="FF008080"/>
      </patternFill>
    </fill>
    <fill>
      <patternFill patternType="solid">
        <fgColor rgb="FFD9D9D9"/>
        <bgColor rgb="FFF2F2F2"/>
      </patternFill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9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8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6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6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6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6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6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8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1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B8E8"/>
      <rgbColor rgb="FF9B59B6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7F00"/>
      <rgbColor rgb="FF7B4FB6"/>
      <rgbColor rgb="FF969696"/>
      <rgbColor rgb="FF1F3864"/>
      <rgbColor rgb="FF00B050"/>
      <rgbColor rgb="FF003300"/>
      <rgbColor rgb="FF333300"/>
      <rgbColor rgb="FF993300"/>
      <rgbColor rgb="FF993366"/>
      <rgbColor rgb="FF595959"/>
      <rgbColor rgb="FF3B1F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5"/>
    <col collapsed="false" customWidth="true" hidden="false" outlineLevel="0" max="5" min="3" style="1" width="18"/>
    <col collapsed="false" customWidth="true" hidden="false" outlineLevel="0" max="6" min="6" style="1" width="3"/>
  </cols>
  <sheetData>
    <row r="2" customFormat="false" ht="15" hidden="false" customHeight="true" outlineLevel="0" collapsed="false">
      <c r="B2" s="2" t="s">
        <v>0</v>
      </c>
      <c r="C2" s="2"/>
      <c r="D2" s="2"/>
      <c r="E2" s="2"/>
    </row>
    <row r="3" customFormat="false" ht="15" hidden="false" customHeight="true" outlineLevel="0" collapsed="false">
      <c r="B3" s="2"/>
      <c r="C3" s="2"/>
      <c r="D3" s="2"/>
      <c r="E3" s="2"/>
    </row>
    <row r="4" customFormat="false" ht="15" hidden="false" customHeight="true" outlineLevel="0" collapsed="false">
      <c r="B4" s="3" t="s">
        <v>1</v>
      </c>
      <c r="C4" s="3"/>
      <c r="D4" s="3"/>
      <c r="E4" s="3"/>
    </row>
    <row r="5" customFormat="false" ht="15" hidden="false" customHeight="true" outlineLevel="0" collapsed="false">
      <c r="B5" s="4" t="s">
        <v>2</v>
      </c>
      <c r="C5" s="4"/>
      <c r="D5" s="4"/>
      <c r="E5" s="4"/>
    </row>
    <row r="6" customFormat="false" ht="15" hidden="false" customHeight="true" outlineLevel="0" collapsed="false">
      <c r="B6" s="5"/>
      <c r="C6" s="5"/>
      <c r="D6" s="5"/>
      <c r="E6" s="5"/>
    </row>
    <row r="8" customFormat="false" ht="15" hidden="false" customHeight="true" outlineLevel="0" collapsed="false">
      <c r="B8" s="6" t="s">
        <v>3</v>
      </c>
      <c r="C8" s="6"/>
      <c r="D8" s="6"/>
      <c r="E8" s="6"/>
    </row>
    <row r="9" customFormat="false" ht="15" hidden="false" customHeight="true" outlineLevel="0" collapsed="false">
      <c r="B9" s="7" t="s">
        <v>4</v>
      </c>
      <c r="C9" s="7" t="s">
        <v>5</v>
      </c>
      <c r="D9" s="7" t="s">
        <v>6</v>
      </c>
      <c r="E9" s="7" t="s">
        <v>7</v>
      </c>
    </row>
    <row r="10" customFormat="false" ht="15" hidden="false" customHeight="true" outlineLevel="0" collapsed="false">
      <c r="B10" s="8" t="s">
        <v>8</v>
      </c>
      <c r="C10" s="9" t="s">
        <v>9</v>
      </c>
      <c r="D10" s="9" t="s">
        <v>10</v>
      </c>
      <c r="E10" s="9" t="s">
        <v>11</v>
      </c>
    </row>
    <row r="11" customFormat="false" ht="15" hidden="false" customHeight="true" outlineLevel="0" collapsed="false">
      <c r="B11" s="10" t="s">
        <v>12</v>
      </c>
      <c r="C11" s="11" t="s">
        <v>13</v>
      </c>
      <c r="D11" s="11" t="s">
        <v>14</v>
      </c>
      <c r="E11" s="11" t="s">
        <v>15</v>
      </c>
    </row>
    <row r="12" customFormat="false" ht="15" hidden="false" customHeight="true" outlineLevel="0" collapsed="false">
      <c r="B12" s="8" t="s">
        <v>16</v>
      </c>
      <c r="C12" s="9" t="s">
        <v>17</v>
      </c>
      <c r="D12" s="9" t="s">
        <v>18</v>
      </c>
      <c r="E12" s="9" t="s">
        <v>19</v>
      </c>
    </row>
    <row r="13" customFormat="false" ht="15" hidden="false" customHeight="true" outlineLevel="0" collapsed="false">
      <c r="B13" s="10" t="s">
        <v>20</v>
      </c>
      <c r="C13" s="11" t="s">
        <v>21</v>
      </c>
      <c r="D13" s="11" t="s">
        <v>22</v>
      </c>
      <c r="E13" s="11" t="s">
        <v>23</v>
      </c>
    </row>
    <row r="14" customFormat="false" ht="15" hidden="false" customHeight="true" outlineLevel="0" collapsed="false">
      <c r="B14" s="8" t="s">
        <v>24</v>
      </c>
      <c r="C14" s="9" t="s">
        <v>25</v>
      </c>
      <c r="D14" s="9" t="s">
        <v>26</v>
      </c>
      <c r="E14" s="9" t="s">
        <v>27</v>
      </c>
    </row>
    <row r="15" customFormat="false" ht="15" hidden="false" customHeight="true" outlineLevel="0" collapsed="false">
      <c r="B15" s="10" t="s">
        <v>28</v>
      </c>
      <c r="C15" s="11" t="s">
        <v>29</v>
      </c>
      <c r="D15" s="11" t="s">
        <v>30</v>
      </c>
      <c r="E15" s="11" t="s">
        <v>31</v>
      </c>
    </row>
    <row r="16" customFormat="false" ht="15" hidden="false" customHeight="true" outlineLevel="0" collapsed="false">
      <c r="B16" s="8" t="s">
        <v>32</v>
      </c>
      <c r="C16" s="9" t="s">
        <v>33</v>
      </c>
      <c r="D16" s="9" t="s">
        <v>34</v>
      </c>
      <c r="E16" s="9" t="s">
        <v>35</v>
      </c>
    </row>
    <row r="17" customFormat="false" ht="15" hidden="false" customHeight="true" outlineLevel="0" collapsed="false">
      <c r="B17" s="10" t="s">
        <v>36</v>
      </c>
      <c r="C17" s="11" t="s">
        <v>37</v>
      </c>
      <c r="D17" s="11" t="s">
        <v>38</v>
      </c>
      <c r="E17" s="11" t="s">
        <v>39</v>
      </c>
    </row>
    <row r="18" customFormat="false" ht="15" hidden="false" customHeight="true" outlineLevel="0" collapsed="false">
      <c r="B18" s="8" t="s">
        <v>40</v>
      </c>
      <c r="C18" s="9" t="s">
        <v>41</v>
      </c>
      <c r="D18" s="9" t="s">
        <v>42</v>
      </c>
      <c r="E18" s="9" t="s">
        <v>43</v>
      </c>
    </row>
  </sheetData>
  <mergeCells count="4">
    <mergeCell ref="B2:E3"/>
    <mergeCell ref="B4:E4"/>
    <mergeCell ref="B5:E5"/>
    <mergeCell ref="B8:E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8"/>
    <col collapsed="false" customWidth="true" hidden="false" outlineLevel="0" max="8" min="3" style="1" width="13"/>
  </cols>
  <sheetData>
    <row r="1" customFormat="false" ht="21.75" hidden="false" customHeight="true" outlineLevel="0" collapsed="false">
      <c r="B1" s="12" t="s">
        <v>44</v>
      </c>
      <c r="C1" s="12"/>
      <c r="D1" s="12"/>
      <c r="E1" s="12"/>
      <c r="F1" s="12"/>
      <c r="G1" s="12"/>
      <c r="H1" s="12"/>
    </row>
    <row r="2" customFormat="false" ht="15" hidden="false" customHeight="true" outlineLevel="0" collapsed="false">
      <c r="B2" s="13" t="s">
        <v>45</v>
      </c>
      <c r="C2" s="13"/>
      <c r="D2" s="13"/>
      <c r="E2" s="13"/>
      <c r="F2" s="13"/>
      <c r="G2" s="13"/>
      <c r="H2" s="13"/>
    </row>
    <row r="4" customFormat="false" ht="15.75" hidden="false" customHeight="true" outlineLevel="0" collapsed="false">
      <c r="B4" s="14" t="s">
        <v>46</v>
      </c>
      <c r="C4" s="14"/>
      <c r="D4" s="14"/>
      <c r="E4" s="14"/>
      <c r="F4" s="14"/>
      <c r="G4" s="14"/>
      <c r="H4" s="14"/>
    </row>
    <row r="5" customFormat="false" ht="15" hidden="false" customHeight="true" outlineLevel="0" collapsed="false">
      <c r="B5" s="15" t="s">
        <v>47</v>
      </c>
      <c r="C5" s="7" t="s">
        <v>48</v>
      </c>
      <c r="D5" s="7" t="s">
        <v>49</v>
      </c>
      <c r="E5" s="7" t="s">
        <v>5</v>
      </c>
      <c r="F5" s="7" t="s">
        <v>6</v>
      </c>
      <c r="G5" s="7" t="s">
        <v>7</v>
      </c>
      <c r="H5" s="7" t="s">
        <v>50</v>
      </c>
    </row>
    <row r="6" customFormat="false" ht="15" hidden="false" customHeight="true" outlineLevel="0" collapsed="false">
      <c r="B6" s="16" t="s">
        <v>51</v>
      </c>
      <c r="C6" s="17" t="n">
        <v>23.8</v>
      </c>
      <c r="D6" s="17" t="n">
        <v>33.9</v>
      </c>
      <c r="E6" s="17" t="n">
        <v>48.2</v>
      </c>
      <c r="F6" s="17" t="n">
        <v>68.6</v>
      </c>
      <c r="G6" s="17" t="n">
        <v>97.5</v>
      </c>
      <c r="H6" s="17" t="n">
        <v>136.1</v>
      </c>
    </row>
    <row r="7" customFormat="false" ht="15" hidden="false" customHeight="true" outlineLevel="0" collapsed="false">
      <c r="B7" s="18" t="s">
        <v>52</v>
      </c>
      <c r="C7" s="19" t="n">
        <v>8.2</v>
      </c>
      <c r="D7" s="19" t="n">
        <v>10.4</v>
      </c>
      <c r="E7" s="19" t="n">
        <v>13.8</v>
      </c>
      <c r="F7" s="19" t="n">
        <v>18.2</v>
      </c>
      <c r="G7" s="19" t="n">
        <v>23.8</v>
      </c>
      <c r="H7" s="19" t="n">
        <v>30.4</v>
      </c>
    </row>
    <row r="8" customFormat="false" ht="15" hidden="false" customHeight="true" outlineLevel="0" collapsed="false">
      <c r="B8" s="20" t="s">
        <v>53</v>
      </c>
      <c r="C8" s="21" t="n">
        <v>4.8</v>
      </c>
      <c r="D8" s="21" t="n">
        <v>6.2</v>
      </c>
      <c r="E8" s="21" t="n">
        <v>8.6</v>
      </c>
      <c r="F8" s="21" t="n">
        <v>11.4</v>
      </c>
      <c r="G8" s="21" t="n">
        <v>15.2</v>
      </c>
      <c r="H8" s="21" t="n">
        <v>20.1</v>
      </c>
    </row>
    <row r="9" customFormat="false" ht="15" hidden="false" customHeight="true" outlineLevel="0" collapsed="false">
      <c r="B9" s="22" t="s">
        <v>54</v>
      </c>
      <c r="C9" s="23" t="n">
        <v>-1.2</v>
      </c>
      <c r="D9" s="23" t="n">
        <v>-1.4</v>
      </c>
      <c r="E9" s="23" t="n">
        <v>-1.8</v>
      </c>
      <c r="F9" s="23" t="n">
        <v>-2.2</v>
      </c>
      <c r="G9" s="23" t="n">
        <v>-2.8</v>
      </c>
      <c r="H9" s="23" t="n">
        <v>-3.4</v>
      </c>
    </row>
    <row r="10" customFormat="false" ht="15" hidden="false" customHeight="true" outlineLevel="0" collapsed="false">
      <c r="B10" s="24" t="s">
        <v>55</v>
      </c>
      <c r="C10" s="25" t="n">
        <v>-2.8</v>
      </c>
      <c r="D10" s="25" t="n">
        <v>-3.4</v>
      </c>
      <c r="E10" s="25" t="n">
        <v>-4.2</v>
      </c>
      <c r="F10" s="25" t="n">
        <v>-5.2</v>
      </c>
      <c r="G10" s="25" t="n">
        <v>-6.4</v>
      </c>
      <c r="H10" s="25" t="n">
        <v>-7.8</v>
      </c>
    </row>
    <row r="11" customFormat="false" ht="15" hidden="false" customHeight="true" outlineLevel="0" collapsed="false">
      <c r="B11" s="26" t="s">
        <v>56</v>
      </c>
      <c r="C11" s="27" t="n">
        <v>33.9</v>
      </c>
      <c r="D11" s="27" t="n">
        <v>48.2</v>
      </c>
      <c r="E11" s="27" t="n">
        <v>68.6</v>
      </c>
      <c r="F11" s="27" t="n">
        <v>97.5</v>
      </c>
      <c r="G11" s="27" t="n">
        <v>136.1</v>
      </c>
      <c r="H11" s="27" t="n">
        <v>188.2</v>
      </c>
    </row>
    <row r="12" customFormat="false" ht="15" hidden="false" customHeight="true" outlineLevel="0" collapsed="false">
      <c r="B12" s="28" t="s">
        <v>57</v>
      </c>
      <c r="C12" s="29" t="s">
        <v>58</v>
      </c>
      <c r="D12" s="29" t="n">
        <f aca="false">(D11-C11)/C11</f>
        <v>0.421828908554572</v>
      </c>
      <c r="E12" s="29" t="n">
        <f aca="false">(E11-D11)/D11</f>
        <v>0.423236514522821</v>
      </c>
      <c r="F12" s="29" t="n">
        <f aca="false">(F11-E11)/E11</f>
        <v>0.421282798833819</v>
      </c>
      <c r="G12" s="29" t="n">
        <f aca="false">(G11-F11)/G11</f>
        <v>0.283614988978692</v>
      </c>
      <c r="H12" s="29" t="n">
        <f aca="false">(H11-G11)/H11</f>
        <v>0.276833156216791</v>
      </c>
    </row>
    <row r="14" customFormat="false" ht="15.75" hidden="false" customHeight="true" outlineLevel="0" collapsed="false">
      <c r="B14" s="14" t="s">
        <v>59</v>
      </c>
      <c r="C14" s="14"/>
      <c r="D14" s="14"/>
      <c r="E14" s="14"/>
      <c r="F14" s="14"/>
      <c r="G14" s="14"/>
      <c r="H14" s="14"/>
    </row>
    <row r="15" customFormat="false" ht="15" hidden="false" customHeight="true" outlineLevel="0" collapsed="false">
      <c r="B15" s="15" t="s">
        <v>47</v>
      </c>
      <c r="C15" s="7" t="s">
        <v>48</v>
      </c>
      <c r="D15" s="7" t="s">
        <v>49</v>
      </c>
      <c r="E15" s="7" t="s">
        <v>5</v>
      </c>
      <c r="F15" s="7" t="s">
        <v>6</v>
      </c>
      <c r="G15" s="7" t="s">
        <v>7</v>
      </c>
      <c r="H15" s="7" t="s">
        <v>50</v>
      </c>
    </row>
    <row r="16" customFormat="false" ht="15" hidden="false" customHeight="true" outlineLevel="0" collapsed="false">
      <c r="B16" s="16" t="s">
        <v>60</v>
      </c>
      <c r="C16" s="30" t="n">
        <v>2.8</v>
      </c>
      <c r="D16" s="30" t="n">
        <v>4</v>
      </c>
      <c r="E16" s="30" t="n">
        <v>5.7</v>
      </c>
      <c r="F16" s="30" t="n">
        <v>8.1</v>
      </c>
      <c r="G16" s="30" t="n">
        <v>11.3</v>
      </c>
      <c r="H16" s="30" t="n">
        <v>15.7</v>
      </c>
    </row>
    <row r="17" customFormat="false" ht="15" hidden="false" customHeight="true" outlineLevel="0" collapsed="false">
      <c r="B17" s="31" t="s">
        <v>61</v>
      </c>
      <c r="C17" s="32"/>
      <c r="D17" s="33" t="n">
        <f aca="false">(D16-C16)/C16</f>
        <v>0.428571428571429</v>
      </c>
      <c r="E17" s="33" t="n">
        <f aca="false">(E16-D16)/D16</f>
        <v>0.425</v>
      </c>
      <c r="F17" s="33" t="n">
        <f aca="false">(F16-E16)/F16</f>
        <v>0.296296296296296</v>
      </c>
      <c r="G17" s="33" t="n">
        <f aca="false">(G16-F16)/G16</f>
        <v>0.283185840707965</v>
      </c>
      <c r="H17" s="33" t="n">
        <f aca="false">(H16-G16)/H16</f>
        <v>0.280254777070064</v>
      </c>
    </row>
    <row r="18" customFormat="false" ht="15" hidden="false" customHeight="true" outlineLevel="0" collapsed="false">
      <c r="B18" s="16" t="s">
        <v>62</v>
      </c>
      <c r="C18" s="30" t="n">
        <v>2.4</v>
      </c>
      <c r="D18" s="30" t="n">
        <v>3.2</v>
      </c>
      <c r="E18" s="30" t="n">
        <v>4.1</v>
      </c>
      <c r="F18" s="30" t="n">
        <v>5.6</v>
      </c>
      <c r="G18" s="30" t="n">
        <v>7.4</v>
      </c>
      <c r="H18" s="30" t="n">
        <v>9.8</v>
      </c>
    </row>
    <row r="19" customFormat="false" ht="15" hidden="false" customHeight="true" outlineLevel="0" collapsed="false">
      <c r="B19" s="31" t="s">
        <v>63</v>
      </c>
      <c r="C19" s="34" t="n">
        <v>11.2</v>
      </c>
      <c r="D19" s="34" t="n">
        <v>15.8</v>
      </c>
      <c r="E19" s="34" t="n">
        <v>21.8</v>
      </c>
      <c r="F19" s="34" t="n">
        <v>30.2</v>
      </c>
      <c r="G19" s="34" t="n">
        <v>41.4</v>
      </c>
      <c r="H19" s="34" t="n">
        <v>55.6</v>
      </c>
    </row>
    <row r="20" customFormat="false" ht="15" hidden="false" customHeight="true" outlineLevel="0" collapsed="false">
      <c r="B20" s="16" t="s">
        <v>64</v>
      </c>
      <c r="C20" s="35" t="n">
        <f aca="false">C19/C16/12</f>
        <v>0.333333333333333</v>
      </c>
      <c r="D20" s="35" t="n">
        <f aca="false">D19/D16/12</f>
        <v>0.329166666666667</v>
      </c>
      <c r="E20" s="35" t="n">
        <f aca="false">E19/E16/12</f>
        <v>0.318713450292398</v>
      </c>
      <c r="F20" s="35" t="n">
        <f aca="false">F19/F16/12</f>
        <v>0.310699588477366</v>
      </c>
      <c r="G20" s="35" t="n">
        <f aca="false">G19/G16/12</f>
        <v>0.305309734513274</v>
      </c>
      <c r="H20" s="35" t="n">
        <f aca="false">H19/H16/12</f>
        <v>0.295116772823779</v>
      </c>
    </row>
    <row r="22" customFormat="false" ht="15.75" hidden="false" customHeight="true" outlineLevel="0" collapsed="false">
      <c r="B22" s="14" t="s">
        <v>65</v>
      </c>
      <c r="C22" s="14"/>
      <c r="D22" s="14"/>
      <c r="E22" s="14"/>
      <c r="F22" s="14"/>
      <c r="G22" s="14"/>
      <c r="H22" s="14"/>
    </row>
    <row r="23" customFormat="false" ht="15" hidden="false" customHeight="true" outlineLevel="0" collapsed="false">
      <c r="B23" s="15" t="s">
        <v>47</v>
      </c>
      <c r="C23" s="7" t="s">
        <v>48</v>
      </c>
      <c r="D23" s="7" t="s">
        <v>49</v>
      </c>
      <c r="E23" s="7" t="s">
        <v>5</v>
      </c>
      <c r="F23" s="7" t="s">
        <v>6</v>
      </c>
      <c r="G23" s="7" t="s">
        <v>7</v>
      </c>
      <c r="H23" s="7" t="s">
        <v>50</v>
      </c>
    </row>
    <row r="24" customFormat="false" ht="15" hidden="false" customHeight="true" outlineLevel="0" collapsed="false">
      <c r="B24" s="16" t="s">
        <v>66</v>
      </c>
      <c r="C24" s="36" t="n">
        <v>142</v>
      </c>
      <c r="D24" s="36" t="n">
        <v>198</v>
      </c>
      <c r="E24" s="36" t="n">
        <v>268</v>
      </c>
      <c r="F24" s="36" t="n">
        <v>356</v>
      </c>
      <c r="G24" s="36" t="n">
        <v>468</v>
      </c>
      <c r="H24" s="36" t="n">
        <v>608</v>
      </c>
    </row>
    <row r="25" customFormat="false" ht="15" hidden="false" customHeight="true" outlineLevel="0" collapsed="false">
      <c r="B25" s="31" t="s">
        <v>67</v>
      </c>
      <c r="C25" s="37" t="n">
        <v>68</v>
      </c>
      <c r="D25" s="37" t="n">
        <v>84</v>
      </c>
      <c r="E25" s="37" t="n">
        <v>108</v>
      </c>
      <c r="F25" s="37" t="n">
        <v>136</v>
      </c>
      <c r="G25" s="37" t="n">
        <v>168</v>
      </c>
      <c r="H25" s="37" t="n">
        <v>208</v>
      </c>
    </row>
    <row r="26" customFormat="false" ht="15" hidden="false" customHeight="true" outlineLevel="0" collapsed="false">
      <c r="B26" s="16" t="s">
        <v>68</v>
      </c>
      <c r="C26" s="36" t="n">
        <v>12</v>
      </c>
      <c r="D26" s="36" t="n">
        <v>14</v>
      </c>
      <c r="E26" s="36" t="n">
        <v>20</v>
      </c>
      <c r="F26" s="36" t="n">
        <v>24</v>
      </c>
      <c r="G26" s="36" t="n">
        <v>28</v>
      </c>
      <c r="H26" s="36" t="n">
        <v>34</v>
      </c>
    </row>
    <row r="27" customFormat="false" ht="15" hidden="false" customHeight="true" outlineLevel="0" collapsed="false">
      <c r="B27" s="31" t="s">
        <v>69</v>
      </c>
      <c r="C27" s="37" t="n">
        <v>198</v>
      </c>
      <c r="D27" s="37" t="n">
        <v>268</v>
      </c>
      <c r="E27" s="37" t="n">
        <v>356</v>
      </c>
      <c r="F27" s="37" t="n">
        <v>468</v>
      </c>
      <c r="G27" s="37" t="n">
        <v>608</v>
      </c>
      <c r="H27" s="37" t="n">
        <v>782</v>
      </c>
    </row>
    <row r="28" customFormat="false" ht="15" hidden="false" customHeight="true" outlineLevel="0" collapsed="false">
      <c r="B28" s="16" t="s">
        <v>28</v>
      </c>
      <c r="C28" s="38" t="n">
        <f aca="false">C26/C24</f>
        <v>0.0845070422535211</v>
      </c>
      <c r="D28" s="38" t="n">
        <f aca="false">D26/D24</f>
        <v>0.0707070707070707</v>
      </c>
      <c r="E28" s="38" t="n">
        <f aca="false">E26/E24</f>
        <v>0.0746268656716418</v>
      </c>
      <c r="F28" s="38" t="n">
        <f aca="false">F26/F24</f>
        <v>0.0674157303370787</v>
      </c>
      <c r="G28" s="38" t="n">
        <f aca="false">G26/G24</f>
        <v>0.0598290598290598</v>
      </c>
      <c r="H28" s="38" t="n">
        <f aca="false">H26/H24</f>
        <v>0.055921052631579</v>
      </c>
    </row>
    <row r="29" customFormat="false" ht="15" hidden="false" customHeight="true" outlineLevel="0" collapsed="false">
      <c r="B29" s="31" t="s">
        <v>70</v>
      </c>
      <c r="C29" s="39" t="n">
        <f aca="false">C11/C27*1000</f>
        <v>171.212121212121</v>
      </c>
      <c r="D29" s="39" t="n">
        <f aca="false">D11/D27*1000</f>
        <v>179.850746268657</v>
      </c>
      <c r="E29" s="39" t="n">
        <f aca="false">E11/E27*1000</f>
        <v>192.696629213483</v>
      </c>
      <c r="F29" s="39" t="n">
        <f aca="false">F11/F27*1000</f>
        <v>208.333333333333</v>
      </c>
      <c r="G29" s="39" t="n">
        <f aca="false">G11/G27*1000</f>
        <v>223.848684210526</v>
      </c>
      <c r="H29" s="39" t="n">
        <f aca="false">H11/H27*1000</f>
        <v>240.664961636829</v>
      </c>
    </row>
    <row r="31" customFormat="false" ht="15.75" hidden="false" customHeight="true" outlineLevel="0" collapsed="false">
      <c r="B31" s="14" t="s">
        <v>71</v>
      </c>
      <c r="C31" s="14"/>
      <c r="D31" s="14"/>
      <c r="E31" s="14"/>
      <c r="F31" s="14"/>
      <c r="G31" s="14"/>
      <c r="H31" s="14"/>
    </row>
    <row r="32" customFormat="false" ht="15" hidden="false" customHeight="true" outlineLevel="0" collapsed="false">
      <c r="B32" s="15" t="s">
        <v>47</v>
      </c>
      <c r="C32" s="7" t="s">
        <v>48</v>
      </c>
      <c r="D32" s="7" t="s">
        <v>49</v>
      </c>
      <c r="E32" s="7" t="s">
        <v>5</v>
      </c>
      <c r="F32" s="7" t="s">
        <v>6</v>
      </c>
      <c r="G32" s="7" t="s">
        <v>7</v>
      </c>
      <c r="H32" s="7" t="s">
        <v>50</v>
      </c>
    </row>
    <row r="33" customFormat="false" ht="15" hidden="false" customHeight="true" outlineLevel="0" collapsed="false">
      <c r="B33" s="31" t="s">
        <v>72</v>
      </c>
      <c r="C33" s="40" t="n">
        <v>1.12</v>
      </c>
      <c r="D33" s="40" t="n">
        <v>1.14</v>
      </c>
      <c r="E33" s="40" t="n">
        <v>1.18</v>
      </c>
      <c r="F33" s="40" t="n">
        <v>1.21</v>
      </c>
      <c r="G33" s="40" t="n">
        <v>1.24</v>
      </c>
      <c r="H33" s="40" t="n">
        <v>1.27</v>
      </c>
    </row>
    <row r="34" customFormat="false" ht="15" hidden="false" customHeight="true" outlineLevel="0" collapsed="false">
      <c r="B34" s="31" t="s">
        <v>73</v>
      </c>
      <c r="C34" s="40" t="n">
        <v>0.85</v>
      </c>
      <c r="D34" s="40" t="n">
        <v>0.86</v>
      </c>
      <c r="E34" s="40" t="n">
        <v>0.88</v>
      </c>
      <c r="F34" s="40" t="n">
        <v>0.89</v>
      </c>
      <c r="G34" s="40" t="n">
        <v>0.9</v>
      </c>
      <c r="H34" s="40" t="n">
        <v>0.91</v>
      </c>
    </row>
    <row r="35" customFormat="false" ht="15" hidden="false" customHeight="true" outlineLevel="0" collapsed="false">
      <c r="B35" s="31" t="s">
        <v>74</v>
      </c>
      <c r="C35" s="41" t="n">
        <f aca="false">C33-C34</f>
        <v>0.27</v>
      </c>
      <c r="D35" s="41" t="n">
        <f aca="false">D33-D34</f>
        <v>0.28</v>
      </c>
      <c r="E35" s="41" t="n">
        <f aca="false">E33-E34</f>
        <v>0.3</v>
      </c>
      <c r="F35" s="41" t="n">
        <f aca="false">F33-F34</f>
        <v>0.32</v>
      </c>
      <c r="G35" s="41" t="n">
        <f aca="false">G33-G34</f>
        <v>0.34</v>
      </c>
      <c r="H35" s="41" t="n">
        <f aca="false">H33-H34</f>
        <v>0.36</v>
      </c>
    </row>
    <row r="36" customFormat="false" ht="15" hidden="false" customHeight="true" outlineLevel="0" collapsed="false">
      <c r="B36" s="31" t="s">
        <v>75</v>
      </c>
      <c r="C36" s="42" t="n">
        <f aca="false">(C7+C8)/(ABS(C9)+ABS(C10))</f>
        <v>3.25</v>
      </c>
      <c r="D36" s="42" t="n">
        <f aca="false">(D7+D8)/(ABS(D9)+ABS(D10))</f>
        <v>3.45833333333333</v>
      </c>
      <c r="E36" s="42" t="n">
        <f aca="false">(E7+E8)/(ABS(E9)+ABS(E10))</f>
        <v>3.73333333333333</v>
      </c>
      <c r="F36" s="42" t="n">
        <f aca="false">(F7+F8)/(ABS(F9)+ABS(F10))</f>
        <v>4</v>
      </c>
      <c r="G36" s="42" t="n">
        <f aca="false">(G7+G8)/(ABS(G9)+ABS(G10))</f>
        <v>4.23913043478261</v>
      </c>
      <c r="H36" s="42" t="n">
        <f aca="false">(H7+H8)/(ABS(H9)+ABS(H10))</f>
        <v>4.50892857142857</v>
      </c>
    </row>
  </sheetData>
  <mergeCells count="6">
    <mergeCell ref="B1:H1"/>
    <mergeCell ref="B2:H2"/>
    <mergeCell ref="B4:H4"/>
    <mergeCell ref="B14:H14"/>
    <mergeCell ref="B22:H22"/>
    <mergeCell ref="B31:H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8"/>
    <col collapsed="false" customWidth="true" hidden="false" outlineLevel="0" max="8" min="3" style="1" width="13"/>
  </cols>
  <sheetData>
    <row r="1" customFormat="false" ht="15.75" hidden="false" customHeight="true" outlineLevel="0" collapsed="false">
      <c r="B1" s="12" t="s">
        <v>76</v>
      </c>
      <c r="C1" s="12"/>
      <c r="D1" s="12"/>
      <c r="E1" s="12"/>
      <c r="F1" s="12"/>
      <c r="G1" s="12"/>
      <c r="H1" s="12"/>
    </row>
    <row r="3" customFormat="false" ht="15.75" hidden="false" customHeight="true" outlineLevel="0" collapsed="false">
      <c r="B3" s="14" t="s">
        <v>77</v>
      </c>
      <c r="C3" s="14"/>
      <c r="D3" s="14"/>
      <c r="E3" s="14"/>
      <c r="F3" s="14"/>
      <c r="G3" s="14"/>
      <c r="H3" s="14"/>
    </row>
    <row r="4" customFormat="false" ht="15" hidden="false" customHeight="true" outlineLevel="0" collapsed="false">
      <c r="B4" s="15" t="s">
        <v>47</v>
      </c>
      <c r="C4" s="7" t="s">
        <v>48</v>
      </c>
      <c r="D4" s="7" t="s">
        <v>49</v>
      </c>
      <c r="E4" s="7" t="s">
        <v>5</v>
      </c>
      <c r="F4" s="7" t="s">
        <v>6</v>
      </c>
      <c r="G4" s="7" t="s">
        <v>7</v>
      </c>
      <c r="H4" s="7" t="s">
        <v>50</v>
      </c>
    </row>
    <row r="5" customFormat="false" ht="15" hidden="false" customHeight="true" outlineLevel="0" collapsed="false">
      <c r="B5" s="31" t="s">
        <v>78</v>
      </c>
      <c r="C5" s="34" t="n">
        <v>8.2</v>
      </c>
      <c r="D5" s="34" t="n">
        <v>10.8</v>
      </c>
      <c r="E5" s="34" t="n">
        <v>14.2</v>
      </c>
      <c r="F5" s="34" t="n">
        <v>18.4</v>
      </c>
      <c r="G5" s="34" t="n">
        <v>23.6</v>
      </c>
      <c r="H5" s="34" t="n">
        <v>30.1</v>
      </c>
    </row>
    <row r="6" customFormat="false" ht="15" hidden="false" customHeight="true" outlineLevel="0" collapsed="false">
      <c r="B6" s="31" t="s">
        <v>79</v>
      </c>
      <c r="C6" s="37" t="n">
        <v>68</v>
      </c>
      <c r="D6" s="37" t="n">
        <v>84</v>
      </c>
      <c r="E6" s="37" t="n">
        <v>108</v>
      </c>
      <c r="F6" s="37" t="n">
        <v>136</v>
      </c>
      <c r="G6" s="37" t="n">
        <v>168</v>
      </c>
      <c r="H6" s="37" t="n">
        <v>208</v>
      </c>
    </row>
    <row r="7" customFormat="false" ht="15" hidden="false" customHeight="true" outlineLevel="0" collapsed="false">
      <c r="B7" s="31" t="s">
        <v>80</v>
      </c>
      <c r="C7" s="43" t="n">
        <f aca="false">C5*1000/C6</f>
        <v>120.588235294118</v>
      </c>
      <c r="D7" s="43" t="n">
        <f aca="false">D5*1000/D6</f>
        <v>128.571428571429</v>
      </c>
      <c r="E7" s="43" t="n">
        <f aca="false">E5*1000/E6</f>
        <v>131.481481481482</v>
      </c>
      <c r="F7" s="43" t="n">
        <f aca="false">F5*1000/F6</f>
        <v>135.294117647059</v>
      </c>
      <c r="G7" s="43" t="n">
        <f aca="false">G5*1000/G6</f>
        <v>140.47619047619</v>
      </c>
      <c r="H7" s="43" t="n">
        <f aca="false">H5*1000/H6</f>
        <v>144.711538461538</v>
      </c>
    </row>
    <row r="8" customFormat="false" ht="15" hidden="false" customHeight="true" outlineLevel="0" collapsed="false">
      <c r="B8" s="31" t="s">
        <v>81</v>
      </c>
      <c r="C8" s="34" t="n">
        <v>28.4</v>
      </c>
      <c r="D8" s="34" t="n">
        <v>31.2</v>
      </c>
      <c r="E8" s="34" t="n">
        <v>36.8</v>
      </c>
      <c r="F8" s="34" t="n">
        <v>41.4</v>
      </c>
      <c r="G8" s="34" t="n">
        <v>46.2</v>
      </c>
      <c r="H8" s="34" t="n">
        <v>52.8</v>
      </c>
    </row>
    <row r="9" customFormat="false" ht="15" hidden="false" customHeight="true" outlineLevel="0" collapsed="false">
      <c r="B9" s="44" t="s">
        <v>82</v>
      </c>
      <c r="C9" s="45" t="n">
        <f aca="false">C7/(C8/12)</f>
        <v>50.9527754763877</v>
      </c>
      <c r="D9" s="45" t="n">
        <f aca="false">D7/(D8/12)</f>
        <v>49.4505494505495</v>
      </c>
      <c r="E9" s="45" t="n">
        <f aca="false">E7/(E8/12)</f>
        <v>42.8743961352657</v>
      </c>
      <c r="F9" s="45" t="n">
        <f aca="false">F7/(F8/12)</f>
        <v>39.2156862745098</v>
      </c>
      <c r="G9" s="45" t="n">
        <f aca="false">G7/(G8/12)</f>
        <v>36.4873222016079</v>
      </c>
      <c r="H9" s="45" t="n">
        <f aca="false">H7/(H8/12)</f>
        <v>32.888986013986</v>
      </c>
    </row>
    <row r="11" customFormat="false" ht="15.75" hidden="false" customHeight="true" outlineLevel="0" collapsed="false">
      <c r="B11" s="14" t="s">
        <v>83</v>
      </c>
      <c r="C11" s="14"/>
      <c r="D11" s="14"/>
      <c r="E11" s="14"/>
      <c r="F11" s="14"/>
      <c r="G11" s="14"/>
      <c r="H11" s="14"/>
    </row>
    <row r="12" customFormat="false" ht="15" hidden="false" customHeight="true" outlineLevel="0" collapsed="false">
      <c r="B12" s="15" t="s">
        <v>47</v>
      </c>
      <c r="C12" s="7" t="s">
        <v>48</v>
      </c>
      <c r="D12" s="7" t="s">
        <v>49</v>
      </c>
      <c r="E12" s="7" t="s">
        <v>5</v>
      </c>
      <c r="F12" s="7" t="s">
        <v>6</v>
      </c>
      <c r="G12" s="7" t="s">
        <v>7</v>
      </c>
      <c r="H12" s="7" t="s">
        <v>50</v>
      </c>
    </row>
    <row r="13" customFormat="false" ht="15" hidden="false" customHeight="true" outlineLevel="0" collapsed="false">
      <c r="B13" s="31" t="s">
        <v>84</v>
      </c>
      <c r="C13" s="46" t="n">
        <v>0.68</v>
      </c>
      <c r="D13" s="46" t="n">
        <v>0.7</v>
      </c>
      <c r="E13" s="46" t="n">
        <v>0.724</v>
      </c>
      <c r="F13" s="46" t="n">
        <v>0.741</v>
      </c>
      <c r="G13" s="46" t="n">
        <v>0.758</v>
      </c>
      <c r="H13" s="46" t="n">
        <v>0.772</v>
      </c>
    </row>
    <row r="14" customFormat="false" ht="15" hidden="false" customHeight="true" outlineLevel="0" collapsed="false">
      <c r="B14" s="31" t="s">
        <v>85</v>
      </c>
      <c r="C14" s="47" t="n">
        <v>4.2</v>
      </c>
      <c r="D14" s="47" t="n">
        <v>4.6</v>
      </c>
      <c r="E14" s="47" t="n">
        <v>5.1</v>
      </c>
      <c r="F14" s="47" t="n">
        <v>5.8</v>
      </c>
      <c r="G14" s="47" t="n">
        <v>6.4</v>
      </c>
      <c r="H14" s="47" t="n">
        <v>7.1</v>
      </c>
    </row>
    <row r="15" customFormat="false" ht="15" hidden="false" customHeight="true" outlineLevel="0" collapsed="false">
      <c r="B15" s="31" t="s">
        <v>86</v>
      </c>
      <c r="C15" s="39" t="n">
        <f aca="false">C8*C13</f>
        <v>19.312</v>
      </c>
      <c r="D15" s="39" t="n">
        <f aca="false">D8*D13</f>
        <v>21.84</v>
      </c>
      <c r="E15" s="39" t="n">
        <f aca="false">E8*E13</f>
        <v>26.6432</v>
      </c>
      <c r="F15" s="39" t="n">
        <f aca="false">F8*F13</f>
        <v>30.6774</v>
      </c>
      <c r="G15" s="39" t="n">
        <f aca="false">G8*G13</f>
        <v>35.0196</v>
      </c>
      <c r="H15" s="39" t="n">
        <f aca="false">H8*H13</f>
        <v>40.7616</v>
      </c>
    </row>
    <row r="16" customFormat="false" ht="15" hidden="false" customHeight="true" outlineLevel="0" collapsed="false">
      <c r="B16" s="44" t="s">
        <v>87</v>
      </c>
      <c r="C16" s="48" t="n">
        <f aca="false">C15*C14</f>
        <v>81.1104</v>
      </c>
      <c r="D16" s="48" t="n">
        <f aca="false">D15*D14</f>
        <v>100.464</v>
      </c>
      <c r="E16" s="48" t="n">
        <f aca="false">E15*E14</f>
        <v>135.88032</v>
      </c>
      <c r="F16" s="48" t="n">
        <f aca="false">F15*F14</f>
        <v>177.92892</v>
      </c>
      <c r="G16" s="48" t="n">
        <f aca="false">G15*G14</f>
        <v>224.12544</v>
      </c>
      <c r="H16" s="48" t="n">
        <f aca="false">H15*H14</f>
        <v>289.40736</v>
      </c>
    </row>
    <row r="17" customFormat="false" ht="15" hidden="false" customHeight="true" outlineLevel="0" collapsed="false">
      <c r="B17" s="44" t="s">
        <v>36</v>
      </c>
      <c r="C17" s="49" t="n">
        <f aca="false">C16/C7</f>
        <v>0.672622829268293</v>
      </c>
      <c r="D17" s="49" t="n">
        <f aca="false">D16/D7</f>
        <v>0.781386666666667</v>
      </c>
      <c r="E17" s="49" t="n">
        <f aca="false">E16/E7</f>
        <v>1.03345595492958</v>
      </c>
      <c r="F17" s="49" t="n">
        <f aca="false">F16/F7</f>
        <v>1.3151268</v>
      </c>
      <c r="G17" s="49" t="n">
        <f aca="false">G16/G7</f>
        <v>1.59546923389831</v>
      </c>
      <c r="H17" s="49" t="n">
        <f aca="false">H16/H7</f>
        <v>1.99989139136213</v>
      </c>
    </row>
    <row r="19" customFormat="false" ht="15.75" hidden="false" customHeight="true" outlineLevel="0" collapsed="false">
      <c r="B19" s="14" t="s">
        <v>88</v>
      </c>
      <c r="C19" s="14"/>
      <c r="D19" s="14"/>
      <c r="E19" s="14"/>
      <c r="F19" s="14"/>
      <c r="G19" s="14"/>
      <c r="H19" s="14"/>
    </row>
    <row r="20" customFormat="false" ht="15" hidden="false" customHeight="true" outlineLevel="0" collapsed="false">
      <c r="B20" s="50" t="s">
        <v>89</v>
      </c>
      <c r="C20" s="50"/>
      <c r="D20" s="50"/>
      <c r="E20" s="50"/>
      <c r="F20" s="50" t="s">
        <v>90</v>
      </c>
      <c r="G20" s="50"/>
      <c r="H20" s="50"/>
    </row>
    <row r="21" customFormat="false" ht="15" hidden="false" customHeight="true" outlineLevel="0" collapsed="false">
      <c r="C21" s="7" t="s">
        <v>5</v>
      </c>
      <c r="D21" s="7" t="s">
        <v>6</v>
      </c>
      <c r="E21" s="7" t="s">
        <v>7</v>
      </c>
      <c r="F21" s="7" t="s">
        <v>5</v>
      </c>
      <c r="G21" s="7" t="s">
        <v>6</v>
      </c>
      <c r="H21" s="7" t="s">
        <v>7</v>
      </c>
    </row>
    <row r="22" customFormat="false" ht="15" hidden="false" customHeight="true" outlineLevel="0" collapsed="false">
      <c r="B22" s="16" t="s">
        <v>91</v>
      </c>
      <c r="C22" s="51" t="s">
        <v>92</v>
      </c>
      <c r="D22" s="51" t="s">
        <v>93</v>
      </c>
      <c r="E22" s="51" t="s">
        <v>94</v>
      </c>
      <c r="F22" s="51" t="s">
        <v>95</v>
      </c>
      <c r="G22" s="51" t="s">
        <v>96</v>
      </c>
      <c r="H22" s="51" t="s">
        <v>97</v>
      </c>
    </row>
    <row r="23" customFormat="false" ht="15" hidden="false" customHeight="true" outlineLevel="0" collapsed="false">
      <c r="B23" s="31" t="s">
        <v>98</v>
      </c>
      <c r="C23" s="52" t="s">
        <v>99</v>
      </c>
      <c r="D23" s="52" t="s">
        <v>100</v>
      </c>
      <c r="E23" s="52" t="s">
        <v>101</v>
      </c>
      <c r="F23" s="52" t="s">
        <v>102</v>
      </c>
      <c r="G23" s="52" t="s">
        <v>103</v>
      </c>
      <c r="H23" s="52" t="s">
        <v>104</v>
      </c>
    </row>
    <row r="24" customFormat="false" ht="15" hidden="false" customHeight="true" outlineLevel="0" collapsed="false">
      <c r="B24" s="16" t="s">
        <v>105</v>
      </c>
      <c r="C24" s="51" t="s">
        <v>106</v>
      </c>
      <c r="D24" s="51" t="s">
        <v>107</v>
      </c>
      <c r="E24" s="51" t="s">
        <v>108</v>
      </c>
      <c r="F24" s="51" t="s">
        <v>109</v>
      </c>
      <c r="G24" s="51" t="s">
        <v>110</v>
      </c>
      <c r="H24" s="51" t="s">
        <v>111</v>
      </c>
    </row>
    <row r="25" customFormat="false" ht="15" hidden="false" customHeight="true" outlineLevel="0" collapsed="false">
      <c r="B25" s="31" t="s">
        <v>112</v>
      </c>
      <c r="C25" s="52" t="s">
        <v>113</v>
      </c>
      <c r="D25" s="52" t="s">
        <v>114</v>
      </c>
      <c r="E25" s="52" t="s">
        <v>115</v>
      </c>
      <c r="F25" s="52" t="s">
        <v>116</v>
      </c>
      <c r="G25" s="52" t="s">
        <v>117</v>
      </c>
      <c r="H25" s="52" t="s">
        <v>118</v>
      </c>
    </row>
    <row r="26" customFormat="false" ht="15" hidden="false" customHeight="true" outlineLevel="0" collapsed="false">
      <c r="B26" s="16" t="s">
        <v>119</v>
      </c>
      <c r="C26" s="51" t="s">
        <v>120</v>
      </c>
      <c r="D26" s="51" t="s">
        <v>121</v>
      </c>
      <c r="E26" s="51" t="s">
        <v>122</v>
      </c>
      <c r="F26" s="51" t="s">
        <v>123</v>
      </c>
      <c r="G26" s="51" t="s">
        <v>124</v>
      </c>
      <c r="H26" s="51" t="s">
        <v>125</v>
      </c>
    </row>
    <row r="27" customFormat="false" ht="15" hidden="false" customHeight="true" outlineLevel="0" collapsed="false">
      <c r="B27" s="31" t="s">
        <v>126</v>
      </c>
      <c r="C27" s="52" t="s">
        <v>127</v>
      </c>
      <c r="D27" s="52" t="s">
        <v>128</v>
      </c>
      <c r="E27" s="52" t="s">
        <v>129</v>
      </c>
      <c r="F27" s="52" t="s">
        <v>130</v>
      </c>
      <c r="G27" s="52" t="s">
        <v>131</v>
      </c>
      <c r="H27" s="52" t="s">
        <v>33</v>
      </c>
    </row>
    <row r="28" customFormat="false" ht="15" hidden="false" customHeight="true" outlineLevel="0" collapsed="false">
      <c r="B28" s="16" t="s">
        <v>132</v>
      </c>
      <c r="C28" s="51" t="s">
        <v>133</v>
      </c>
      <c r="D28" s="51" t="s">
        <v>134</v>
      </c>
      <c r="E28" s="51" t="s">
        <v>135</v>
      </c>
      <c r="F28" s="51" t="s">
        <v>136</v>
      </c>
      <c r="G28" s="51" t="s">
        <v>137</v>
      </c>
      <c r="H28" s="51" t="s">
        <v>138</v>
      </c>
    </row>
    <row r="31" customFormat="false" ht="15.75" hidden="false" customHeight="true" outlineLevel="0" collapsed="false">
      <c r="B31" s="14" t="s">
        <v>139</v>
      </c>
      <c r="C31" s="14"/>
      <c r="D31" s="14"/>
      <c r="E31" s="14"/>
      <c r="F31" s="14"/>
      <c r="G31" s="14"/>
      <c r="H31" s="14"/>
    </row>
    <row r="32" customFormat="false" ht="15" hidden="false" customHeight="true" outlineLevel="0" collapsed="false">
      <c r="B32" s="15" t="s">
        <v>47</v>
      </c>
      <c r="C32" s="7" t="s">
        <v>48</v>
      </c>
      <c r="D32" s="7" t="s">
        <v>49</v>
      </c>
      <c r="E32" s="7" t="s">
        <v>5</v>
      </c>
      <c r="F32" s="7" t="s">
        <v>6</v>
      </c>
      <c r="G32" s="7" t="s">
        <v>7</v>
      </c>
      <c r="H32" s="7" t="s">
        <v>50</v>
      </c>
    </row>
    <row r="33" customFormat="false" ht="15" hidden="false" customHeight="true" outlineLevel="0" collapsed="false">
      <c r="B33" s="31" t="s">
        <v>140</v>
      </c>
      <c r="C33" s="33" t="s">
        <v>58</v>
      </c>
      <c r="D33" s="46" t="n">
        <v>42.8</v>
      </c>
      <c r="E33" s="46" t="n">
        <v>44.2</v>
      </c>
      <c r="F33" s="46" t="n">
        <v>42.4</v>
      </c>
      <c r="G33" s="46" t="n">
        <v>39.4</v>
      </c>
      <c r="H33" s="46" t="n">
        <v>38.1</v>
      </c>
    </row>
    <row r="34" customFormat="false" ht="15" hidden="false" customHeight="true" outlineLevel="0" collapsed="false">
      <c r="B34" s="31" t="s">
        <v>141</v>
      </c>
      <c r="C34" s="46" t="n">
        <v>-18.2</v>
      </c>
      <c r="D34" s="46" t="n">
        <v>-12.4</v>
      </c>
      <c r="E34" s="46" t="n">
        <v>-6.2</v>
      </c>
      <c r="F34" s="46" t="n">
        <v>1.8</v>
      </c>
      <c r="G34" s="46" t="n">
        <v>8.4</v>
      </c>
      <c r="H34" s="46" t="n">
        <v>14.2</v>
      </c>
    </row>
    <row r="35" customFormat="false" ht="15" hidden="false" customHeight="true" outlineLevel="0" collapsed="false">
      <c r="B35" s="44" t="s">
        <v>40</v>
      </c>
      <c r="C35" s="45" t="s">
        <v>58</v>
      </c>
      <c r="D35" s="45" t="n">
        <f aca="false">D33+D34</f>
        <v>30.4</v>
      </c>
      <c r="E35" s="45" t="n">
        <f aca="false">E33+E34</f>
        <v>38</v>
      </c>
      <c r="F35" s="45" t="n">
        <f aca="false">F33+F34</f>
        <v>44.2</v>
      </c>
      <c r="G35" s="45" t="n">
        <f aca="false">G33+G34</f>
        <v>47.8</v>
      </c>
      <c r="H35" s="45" t="n">
        <f aca="false">H33+H34</f>
        <v>52.3</v>
      </c>
    </row>
    <row r="36" customFormat="false" ht="15" hidden="false" customHeight="true" outlineLevel="0" collapsed="false">
      <c r="B36" s="31" t="s">
        <v>142</v>
      </c>
      <c r="C36" s="53" t="n">
        <v>0.42</v>
      </c>
      <c r="D36" s="53" t="n">
        <v>0.58</v>
      </c>
      <c r="E36" s="53" t="n">
        <v>0.74</v>
      </c>
      <c r="F36" s="53" t="n">
        <v>0.88</v>
      </c>
      <c r="G36" s="53" t="n">
        <v>1.02</v>
      </c>
      <c r="H36" s="53" t="n">
        <v>1.18</v>
      </c>
    </row>
    <row r="37" customFormat="false" ht="15" hidden="false" customHeight="true" outlineLevel="0" collapsed="false">
      <c r="B37" s="31" t="s">
        <v>143</v>
      </c>
      <c r="C37" s="54" t="n">
        <v>3.8</v>
      </c>
      <c r="D37" s="54" t="n">
        <v>2.6</v>
      </c>
      <c r="E37" s="54" t="n">
        <v>1.4</v>
      </c>
      <c r="F37" s="54" t="n">
        <v>0.8</v>
      </c>
      <c r="G37" s="54" t="n">
        <v>0.4</v>
      </c>
      <c r="H37" s="54" t="n">
        <v>0.2</v>
      </c>
    </row>
  </sheetData>
  <mergeCells count="7">
    <mergeCell ref="B1:H1"/>
    <mergeCell ref="B3:H3"/>
    <mergeCell ref="B11:H11"/>
    <mergeCell ref="B19:H19"/>
    <mergeCell ref="B20:E20"/>
    <mergeCell ref="F20:H20"/>
    <mergeCell ref="B31:H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6"/>
    <col collapsed="false" customWidth="true" hidden="false" outlineLevel="0" max="10" min="3" style="1" width="11"/>
  </cols>
  <sheetData>
    <row r="1" customFormat="false" ht="15.75" hidden="false" customHeight="true" outlineLevel="0" collapsed="false">
      <c r="B1" s="12" t="s">
        <v>144</v>
      </c>
      <c r="C1" s="12"/>
      <c r="D1" s="12"/>
      <c r="E1" s="12"/>
      <c r="F1" s="12"/>
      <c r="G1" s="12"/>
      <c r="H1" s="12"/>
      <c r="I1" s="12"/>
      <c r="J1" s="12"/>
    </row>
    <row r="2" customFormat="false" ht="15" hidden="false" customHeight="true" outlineLevel="0" collapsed="false">
      <c r="B2" s="13" t="s">
        <v>145</v>
      </c>
      <c r="C2" s="13"/>
      <c r="D2" s="13"/>
      <c r="E2" s="13"/>
      <c r="F2" s="13"/>
      <c r="G2" s="13"/>
      <c r="H2" s="13"/>
      <c r="I2" s="13"/>
      <c r="J2" s="13"/>
    </row>
    <row r="4" customFormat="false" ht="15" hidden="false" customHeight="true" outlineLevel="0" collapsed="false">
      <c r="B4" s="55" t="s">
        <v>146</v>
      </c>
      <c r="C4" s="56" t="s">
        <v>147</v>
      </c>
      <c r="D4" s="55" t="s">
        <v>148</v>
      </c>
      <c r="E4" s="55" t="s">
        <v>149</v>
      </c>
      <c r="F4" s="55" t="s">
        <v>150</v>
      </c>
      <c r="G4" s="55" t="s">
        <v>151</v>
      </c>
      <c r="H4" s="55" t="s">
        <v>152</v>
      </c>
      <c r="I4" s="55" t="s">
        <v>153</v>
      </c>
      <c r="J4" s="55" t="s">
        <v>154</v>
      </c>
    </row>
    <row r="5" customFormat="false" ht="15" hidden="false" customHeight="true" outlineLevel="0" collapsed="false">
      <c r="B5" s="55"/>
      <c r="C5" s="55"/>
      <c r="D5" s="55"/>
      <c r="E5" s="55"/>
      <c r="F5" s="55"/>
      <c r="G5" s="55"/>
      <c r="H5" s="55"/>
      <c r="I5" s="55"/>
      <c r="J5" s="55"/>
    </row>
    <row r="6" customFormat="false" ht="15" hidden="false" customHeight="true" outlineLevel="0" collapsed="false">
      <c r="B6" s="7" t="s">
        <v>155</v>
      </c>
      <c r="C6" s="57" t="n">
        <v>1</v>
      </c>
      <c r="D6" s="58" t="n">
        <v>1.12</v>
      </c>
      <c r="E6" s="59" t="n">
        <v>1.22</v>
      </c>
      <c r="F6" s="60" t="n">
        <v>1.3</v>
      </c>
      <c r="G6" s="60" t="n">
        <v>1.36</v>
      </c>
      <c r="H6" s="61" t="n">
        <v>1.41</v>
      </c>
      <c r="I6" s="61" t="n">
        <v>1.44</v>
      </c>
      <c r="J6" s="61" t="n">
        <v>1.46</v>
      </c>
    </row>
    <row r="7" customFormat="false" ht="15" hidden="false" customHeight="true" outlineLevel="0" collapsed="false">
      <c r="B7" s="7" t="s">
        <v>156</v>
      </c>
      <c r="C7" s="57" t="n">
        <v>1</v>
      </c>
      <c r="D7" s="58" t="n">
        <v>1.1</v>
      </c>
      <c r="E7" s="59" t="n">
        <v>1.21</v>
      </c>
      <c r="F7" s="59" t="n">
        <v>1.29</v>
      </c>
      <c r="G7" s="60" t="n">
        <v>1.35</v>
      </c>
      <c r="H7" s="61" t="n">
        <v>1.4</v>
      </c>
      <c r="I7" s="61" t="n">
        <v>1.44</v>
      </c>
      <c r="J7" s="62" t="s">
        <v>157</v>
      </c>
    </row>
    <row r="8" customFormat="false" ht="15" hidden="false" customHeight="true" outlineLevel="0" collapsed="false">
      <c r="B8" s="7" t="s">
        <v>158</v>
      </c>
      <c r="C8" s="57" t="n">
        <v>1</v>
      </c>
      <c r="D8" s="63" t="n">
        <v>1.08</v>
      </c>
      <c r="E8" s="58" t="n">
        <v>1.18</v>
      </c>
      <c r="F8" s="59" t="n">
        <v>1.27</v>
      </c>
      <c r="G8" s="60" t="n">
        <v>1.34</v>
      </c>
      <c r="H8" s="60" t="n">
        <v>1.39</v>
      </c>
      <c r="I8" s="62" t="s">
        <v>157</v>
      </c>
      <c r="J8" s="62" t="s">
        <v>157</v>
      </c>
    </row>
    <row r="9" customFormat="false" ht="15" hidden="false" customHeight="true" outlineLevel="0" collapsed="false">
      <c r="B9" s="7" t="s">
        <v>159</v>
      </c>
      <c r="C9" s="57" t="n">
        <v>1</v>
      </c>
      <c r="D9" s="58" t="n">
        <v>1.12</v>
      </c>
      <c r="E9" s="59" t="n">
        <v>1.24</v>
      </c>
      <c r="F9" s="60" t="n">
        <v>1.33</v>
      </c>
      <c r="G9" s="60" t="n">
        <v>1.39</v>
      </c>
      <c r="H9" s="62" t="s">
        <v>157</v>
      </c>
      <c r="I9" s="62" t="s">
        <v>157</v>
      </c>
      <c r="J9" s="62" t="s">
        <v>157</v>
      </c>
    </row>
    <row r="10" customFormat="false" ht="15" hidden="false" customHeight="true" outlineLevel="0" collapsed="false">
      <c r="B10" s="7" t="s">
        <v>160</v>
      </c>
      <c r="C10" s="57" t="n">
        <v>1</v>
      </c>
      <c r="D10" s="58" t="n">
        <v>1.14</v>
      </c>
      <c r="E10" s="59" t="n">
        <v>1.27</v>
      </c>
      <c r="F10" s="60" t="n">
        <v>1.36</v>
      </c>
      <c r="G10" s="62" t="s">
        <v>157</v>
      </c>
      <c r="H10" s="62" t="s">
        <v>157</v>
      </c>
      <c r="I10" s="62" t="s">
        <v>157</v>
      </c>
      <c r="J10" s="62" t="s">
        <v>157</v>
      </c>
    </row>
    <row r="11" customFormat="false" ht="15" hidden="false" customHeight="true" outlineLevel="0" collapsed="false">
      <c r="B11" s="7" t="s">
        <v>161</v>
      </c>
      <c r="C11" s="57" t="n">
        <v>1</v>
      </c>
      <c r="D11" s="58" t="n">
        <v>1.16</v>
      </c>
      <c r="E11" s="60" t="n">
        <v>1.3</v>
      </c>
      <c r="F11" s="62" t="s">
        <v>157</v>
      </c>
      <c r="G11" s="62" t="s">
        <v>157</v>
      </c>
      <c r="H11" s="62" t="s">
        <v>157</v>
      </c>
      <c r="I11" s="62" t="s">
        <v>157</v>
      </c>
      <c r="J11" s="62" t="s">
        <v>157</v>
      </c>
    </row>
    <row r="12" customFormat="false" ht="15" hidden="false" customHeight="true" outlineLevel="0" collapsed="false">
      <c r="B12" s="7" t="s">
        <v>162</v>
      </c>
      <c r="C12" s="57" t="n">
        <v>1</v>
      </c>
      <c r="D12" s="58" t="n">
        <v>1.18</v>
      </c>
      <c r="E12" s="62" t="s">
        <v>157</v>
      </c>
      <c r="F12" s="62" t="s">
        <v>157</v>
      </c>
      <c r="G12" s="62" t="s">
        <v>157</v>
      </c>
      <c r="H12" s="62" t="s">
        <v>157</v>
      </c>
      <c r="I12" s="62" t="s">
        <v>157</v>
      </c>
      <c r="J12" s="62" t="s">
        <v>157</v>
      </c>
    </row>
    <row r="13" customFormat="false" ht="15" hidden="false" customHeight="true" outlineLevel="0" collapsed="false">
      <c r="B13" s="7" t="s">
        <v>163</v>
      </c>
      <c r="C13" s="57" t="n">
        <v>1</v>
      </c>
      <c r="D13" s="62" t="s">
        <v>157</v>
      </c>
      <c r="E13" s="62" t="s">
        <v>157</v>
      </c>
      <c r="F13" s="62" t="s">
        <v>157</v>
      </c>
      <c r="G13" s="62" t="s">
        <v>157</v>
      </c>
      <c r="H13" s="62" t="s">
        <v>157</v>
      </c>
      <c r="I13" s="62" t="s">
        <v>157</v>
      </c>
      <c r="J13" s="62" t="s">
        <v>157</v>
      </c>
    </row>
    <row r="15" customFormat="false" ht="15" hidden="false" customHeight="true" outlineLevel="0" collapsed="false">
      <c r="B15" s="64" t="s">
        <v>164</v>
      </c>
      <c r="C15" s="65" t="n">
        <v>1</v>
      </c>
      <c r="D15" s="65" t="n">
        <v>1.14</v>
      </c>
      <c r="E15" s="65" t="n">
        <v>1.24</v>
      </c>
      <c r="F15" s="65" t="n">
        <v>1.31</v>
      </c>
      <c r="G15" s="65" t="n">
        <v>1.36</v>
      </c>
      <c r="H15" s="65" t="n">
        <v>1.4</v>
      </c>
      <c r="I15" s="65" t="n">
        <v>1.44</v>
      </c>
      <c r="J15" s="65" t="n">
        <v>1.46</v>
      </c>
    </row>
    <row r="17" customFormat="false" ht="15" hidden="false" customHeight="true" outlineLevel="0" collapsed="false">
      <c r="B17" s="66" t="s">
        <v>165</v>
      </c>
      <c r="C17" s="67" t="s">
        <v>166</v>
      </c>
      <c r="D17" s="68" t="s">
        <v>167</v>
      </c>
      <c r="E17" s="69" t="s">
        <v>168</v>
      </c>
      <c r="F17" s="70" t="s">
        <v>169</v>
      </c>
      <c r="G17" s="71" t="s">
        <v>170</v>
      </c>
      <c r="H17" s="72" t="s">
        <v>171</v>
      </c>
      <c r="I17" s="73" t="s">
        <v>172</v>
      </c>
    </row>
    <row r="19" customFormat="false" ht="15" hidden="false" customHeight="true" outlineLevel="0" collapsed="false">
      <c r="B19" s="74" t="s">
        <v>173</v>
      </c>
      <c r="C19" s="74"/>
      <c r="D19" s="74"/>
      <c r="E19" s="74"/>
      <c r="F19" s="74"/>
      <c r="G19" s="74"/>
      <c r="H19" s="74"/>
      <c r="I19" s="74"/>
      <c r="J19" s="74"/>
    </row>
    <row r="20" customFormat="false" ht="15" hidden="false" customHeight="true" outlineLevel="0" collapsed="false">
      <c r="B20" s="7" t="s">
        <v>146</v>
      </c>
      <c r="C20" s="7" t="s">
        <v>155</v>
      </c>
      <c r="D20" s="7" t="s">
        <v>156</v>
      </c>
      <c r="E20" s="7" t="s">
        <v>158</v>
      </c>
      <c r="F20" s="7" t="s">
        <v>159</v>
      </c>
      <c r="G20" s="7" t="s">
        <v>160</v>
      </c>
      <c r="H20" s="7" t="s">
        <v>161</v>
      </c>
      <c r="I20" s="7" t="s">
        <v>162</v>
      </c>
      <c r="J20" s="7" t="s">
        <v>163</v>
      </c>
    </row>
    <row r="21" customFormat="false" ht="15" hidden="false" customHeight="true" outlineLevel="0" collapsed="false">
      <c r="B21" s="16" t="s">
        <v>174</v>
      </c>
      <c r="C21" s="30" t="n">
        <v>2.8</v>
      </c>
      <c r="D21" s="34" t="n">
        <v>4.2</v>
      </c>
      <c r="E21" s="30" t="n">
        <v>6.1</v>
      </c>
      <c r="F21" s="34" t="n">
        <v>8.4</v>
      </c>
      <c r="G21" s="30" t="n">
        <v>11.2</v>
      </c>
      <c r="H21" s="34" t="n">
        <v>15.8</v>
      </c>
      <c r="I21" s="30" t="n">
        <v>22.4</v>
      </c>
      <c r="J21" s="34" t="n">
        <v>31.2</v>
      </c>
    </row>
  </sheetData>
  <mergeCells count="12">
    <mergeCell ref="B1:J1"/>
    <mergeCell ref="B2:J2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B19:J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2026-03-17T00:07:06Z</dcterms:created>
  <dc:creator>openpyxl</dc:creator>
  <dc:description/>
  <dc:language>en-US</dc:language>
  <cp:lastModifiedBy/>
  <dcterms:modified xsi:type="dcterms:W3CDTF">2026-03-17T00:18:11Z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