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lsonolawoyin/Downloads/"/>
    </mc:Choice>
  </mc:AlternateContent>
  <xr:revisionPtr revIDLastSave="0" documentId="8_{B420DAAB-03CD-2040-B581-6FB9F8EE579A}" xr6:coauthVersionLast="47" xr6:coauthVersionMax="47" xr10:uidLastSave="{00000000-0000-0000-0000-000000000000}"/>
  <bookViews>
    <workbookView xWindow="0" yWindow="740" windowWidth="22740" windowHeight="13860" tabRatio="500" activeTab="3" xr2:uid="{00000000-000D-0000-FFFF-FFFF00000000}"/>
  </bookViews>
  <sheets>
    <sheet name="Cover" sheetId="1" r:id="rId1"/>
    <sheet name="ARR &amp; MRR" sheetId="2" r:id="rId2"/>
    <sheet name="Unit Economics" sheetId="3" r:id="rId3"/>
    <sheet name="Cohort 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3" l="1"/>
  <c r="G35" i="3"/>
  <c r="F35" i="3"/>
  <c r="E35" i="3"/>
  <c r="D35" i="3"/>
  <c r="H16" i="3"/>
  <c r="F16" i="3"/>
  <c r="F17" i="3" s="1"/>
  <c r="E16" i="3"/>
  <c r="E17" i="3" s="1"/>
  <c r="H15" i="3"/>
  <c r="G15" i="3"/>
  <c r="G16" i="3" s="1"/>
  <c r="G17" i="3" s="1"/>
  <c r="F15" i="3"/>
  <c r="E15" i="3"/>
  <c r="D15" i="3"/>
  <c r="D16" i="3" s="1"/>
  <c r="D17" i="3" s="1"/>
  <c r="C15" i="3"/>
  <c r="C16" i="3" s="1"/>
  <c r="C17" i="3" s="1"/>
  <c r="E9" i="3"/>
  <c r="D9" i="3"/>
  <c r="H7" i="3"/>
  <c r="H17" i="3" s="1"/>
  <c r="G7" i="3"/>
  <c r="G9" i="3" s="1"/>
  <c r="F7" i="3"/>
  <c r="F9" i="3" s="1"/>
  <c r="E7" i="3"/>
  <c r="D7" i="3"/>
  <c r="C7" i="3"/>
  <c r="C9" i="3" s="1"/>
  <c r="H36" i="2"/>
  <c r="G36" i="2"/>
  <c r="F36" i="2"/>
  <c r="E36" i="2"/>
  <c r="D36" i="2"/>
  <c r="C36" i="2"/>
  <c r="H35" i="2"/>
  <c r="G35" i="2"/>
  <c r="F35" i="2"/>
  <c r="E35" i="2"/>
  <c r="D35" i="2"/>
  <c r="C35" i="2"/>
  <c r="H29" i="2"/>
  <c r="G29" i="2"/>
  <c r="F29" i="2"/>
  <c r="E29" i="2"/>
  <c r="D29" i="2"/>
  <c r="C29" i="2"/>
  <c r="H28" i="2"/>
  <c r="G28" i="2"/>
  <c r="F28" i="2"/>
  <c r="E28" i="2"/>
  <c r="D28" i="2"/>
  <c r="C28" i="2"/>
  <c r="H20" i="2"/>
  <c r="G20" i="2"/>
  <c r="F20" i="2"/>
  <c r="E20" i="2"/>
  <c r="D20" i="2"/>
  <c r="C20" i="2"/>
  <c r="H17" i="2"/>
  <c r="G17" i="2"/>
  <c r="F17" i="2"/>
  <c r="E17" i="2"/>
  <c r="D17" i="2"/>
  <c r="H12" i="2"/>
  <c r="G12" i="2"/>
  <c r="E11" i="1" s="1"/>
  <c r="F12" i="2"/>
  <c r="D11" i="1" s="1"/>
  <c r="E12" i="2"/>
  <c r="D12" i="2"/>
  <c r="E14" i="1"/>
  <c r="D14" i="1"/>
  <c r="C14" i="1"/>
  <c r="E13" i="1"/>
  <c r="D13" i="1"/>
  <c r="C13" i="1"/>
  <c r="E12" i="1"/>
  <c r="D12" i="1"/>
  <c r="C12" i="1"/>
  <c r="C11" i="1"/>
  <c r="E10" i="1"/>
  <c r="D10" i="1"/>
  <c r="C10" i="1"/>
  <c r="H9" i="3" l="1"/>
</calcChain>
</file>

<file path=xl/sharedStrings.xml><?xml version="1.0" encoding="utf-8"?>
<sst xmlns="http://schemas.openxmlformats.org/spreadsheetml/2006/main" count="158" uniqueCount="99">
  <si>
    <t>CLOUDPULSE SaaS ANALYTICS</t>
  </si>
  <si>
    <t>SaaS Revenue &amp; KPI Financial Model | ARR, Cohort &amp; Unit Economics Analysis</t>
  </si>
  <si>
    <t>B2B SaaS | SMB &amp; Mid-Market Segments | Subscription Revenue Focus</t>
  </si>
  <si>
    <t>KEY SaaS METRICS SNAPSHOT</t>
  </si>
  <si>
    <t>KPI</t>
  </si>
  <si>
    <t>FY2024A</t>
  </si>
  <si>
    <t>FY2025E</t>
  </si>
  <si>
    <t>FY2026E</t>
  </si>
  <si>
    <t>ARR ($mm)</t>
  </si>
  <si>
    <t>ARR Growth YoY</t>
  </si>
  <si>
    <t>Monthly Recurring Revenue ($mm)</t>
  </si>
  <si>
    <t>Net Revenue Retention</t>
  </si>
  <si>
    <t>Gross Revenue Retention</t>
  </si>
  <si>
    <t>Logo Churn Rate</t>
  </si>
  <si>
    <t>CAC Payback Period (months)</t>
  </si>
  <si>
    <t>LTV / CAC Ratio</t>
  </si>
  <si>
    <t>Rule of 40 Score</t>
  </si>
  <si>
    <t>CLOUDPULSE: ARR WATERFALL AND SUBSCRIPTION METRICS</t>
  </si>
  <si>
    <t>All figures in USD millions unless noted | Annual Recurring Revenue Bridge</t>
  </si>
  <si>
    <t>ARR WATERFALL ($mm)</t>
  </si>
  <si>
    <t>Metric</t>
  </si>
  <si>
    <t>FY2022A</t>
  </si>
  <si>
    <t>FY2023A</t>
  </si>
  <si>
    <t>FY2027E</t>
  </si>
  <si>
    <t>Beginning ARR</t>
  </si>
  <si>
    <t>New ARR (New Logos)</t>
  </si>
  <si>
    <t>Expansion ARR (Upsell)</t>
  </si>
  <si>
    <t>Contraction ARR</t>
  </si>
  <si>
    <t>Churned ARR</t>
  </si>
  <si>
    <t>Ending ARR</t>
  </si>
  <si>
    <t xml:space="preserve">  ARR Growth YoY</t>
  </si>
  <si>
    <t>N/A</t>
  </si>
  <si>
    <t>MONTHLY RECURRING REVENUE &amp; BOOKINGS</t>
  </si>
  <si>
    <t>Monthly Recurring Revenue (MRR)</t>
  </si>
  <si>
    <t xml:space="preserve">  MRR Growth YoY</t>
  </si>
  <si>
    <t>Annual Contract Value (ACV, $mm)</t>
  </si>
  <si>
    <t>Total Bookings ($mm)</t>
  </si>
  <si>
    <t xml:space="preserve">  Book-to-Bill Ratio</t>
  </si>
  <si>
    <t>CUSTOMER / LOGO METRICS</t>
  </si>
  <si>
    <t>Beginning Logos</t>
  </si>
  <si>
    <t>New Logos Added</t>
  </si>
  <si>
    <t>Churned Logos</t>
  </si>
  <si>
    <t>Ending Logos (Customers)</t>
  </si>
  <si>
    <t>Average ARR per Customer ($K)</t>
  </si>
  <si>
    <t>RETENTION &amp; COHORT METRICS</t>
  </si>
  <si>
    <t>Net Revenue Retention (NRR)</t>
  </si>
  <si>
    <t>Gross Revenue Retention (GRR)</t>
  </si>
  <si>
    <t>Net Dollar Expansion Rate</t>
  </si>
  <si>
    <t>Quick Ratio (New+Exp / Churn+Contr)</t>
  </si>
  <si>
    <t>CLOUDPULSE: UNIT ECONOMICS AND LTV/CAC ANALYSIS</t>
  </si>
  <si>
    <t>CUSTOMER ACQUISITION COSTS (CAC)</t>
  </si>
  <si>
    <t>S&amp;M Spend ($mm)</t>
  </si>
  <si>
    <t>New Customers Acquired</t>
  </si>
  <si>
    <t>Blended CAC ($K)</t>
  </si>
  <si>
    <t>Avg. New ARR per Customer ($K)</t>
  </si>
  <si>
    <t>Payback Period (months)</t>
  </si>
  <si>
    <t>CUSTOMER LIFETIME VALUE (LTV)</t>
  </si>
  <si>
    <t>Gross Margin %</t>
  </si>
  <si>
    <t>Avg. Contract Life (years)</t>
  </si>
  <si>
    <t>Annual Gross Profit / Customer ($K)</t>
  </si>
  <si>
    <t>LTV ($K)</t>
  </si>
  <si>
    <t>SEGMENT ANALYSIS: SMB vs. MID-MARKET</t>
  </si>
  <si>
    <t>SMB Segment (Less than $10K ACV)</t>
  </si>
  <si>
    <t>Mid-Market ($10K to $100K ACV)</t>
  </si>
  <si>
    <t>% of Logos</t>
  </si>
  <si>
    <t>% of ARR</t>
  </si>
  <si>
    <t>Avg. ACV ($K)</t>
  </si>
  <si>
    <t>Logo Churn</t>
  </si>
  <si>
    <t>NRR</t>
  </si>
  <si>
    <t>CAC Payback (mo)</t>
  </si>
  <si>
    <t>LTV/CAC</t>
  </si>
  <si>
    <t>RULE OF 40 AND EFFICIENCY METRICS</t>
  </si>
  <si>
    <t>Revenue Growth %</t>
  </si>
  <si>
    <t>FCF Margin %</t>
  </si>
  <si>
    <t>Magic Number (Efficiency Score)</t>
  </si>
  <si>
    <t>Burn Multiple</t>
  </si>
  <si>
    <t>CLOUDPULSE: REVENUE COHORT RETENTION ANALYSIS</t>
  </si>
  <si>
    <t>Revenue retention by acquisition cohort year. Values represent percentage of initial ARR retained in subsequent years.</t>
  </si>
  <si>
    <t>Cohort Year</t>
  </si>
  <si>
    <t>Yr 0
(Acq)</t>
  </si>
  <si>
    <t>Yr 1</t>
  </si>
  <si>
    <t>Yr 2</t>
  </si>
  <si>
    <t>Yr 3</t>
  </si>
  <si>
    <t>Yr 4</t>
  </si>
  <si>
    <t>Yr 5</t>
  </si>
  <si>
    <t>Yr 6</t>
  </si>
  <si>
    <t>Yr 7</t>
  </si>
  <si>
    <t>2025E</t>
  </si>
  <si>
    <t>Average</t>
  </si>
  <si>
    <t>Retention Legend:</t>
  </si>
  <si>
    <t>≥140%</t>
  </si>
  <si>
    <t>130-139%</t>
  </si>
  <si>
    <t>120-129%</t>
  </si>
  <si>
    <t>110-119%</t>
  </si>
  <si>
    <t>100-109%</t>
  </si>
  <si>
    <t>&lt;100%</t>
  </si>
  <si>
    <t>Future</t>
  </si>
  <si>
    <t>Initial Cohort ARR ($mm)</t>
  </si>
  <si>
    <t>Initial ARR ($mm)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</si>
</sst>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"/>
    <numFmt numFmtId="165" formatCode="0.0%"/>
    <numFmt numFmtId="166" formatCode="0.0\x"/>
    <numFmt numFmtId="167" formatCode="\$#,##0.0;&quot;($&quot;#,##0.0\);\-"/>
    <numFmt numFmtId="168" formatCode="0.0"/>
    <numFmt numFmtId="169" formatCode="\$#,##0.0\K"/>
    <numFmt numFmtId="170" formatCode="0.00\x"/>
  </numFmts>
  <fonts count="22" x14ac:knownFonts="1">
    <font>
      <sz val="11"/>
      <color theme="1"/>
      <name val="Calibri"/>
      <family val="2"/>
      <charset val="1"/>
    </font>
    <font>
      <b/>
      <sz val="14"/>
      <name val="Cambria"/>
      <family val="1"/>
    </font>
    <font>
      <sz val="11"/>
      <color rgb="FF595959"/>
      <name val="Arial"/>
      <family val="2"/>
    </font>
    <font>
      <i/>
      <sz val="9"/>
      <color rgb="FF595959"/>
      <name val="Arial"/>
      <family val="2"/>
    </font>
    <font>
      <b/>
      <sz val="11"/>
      <name val="Cambria"/>
      <family val="1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11"/>
      <color rgb="FF008000"/>
      <name val="Cambria"/>
      <family val="1"/>
    </font>
    <font>
      <sz val="11"/>
      <color rgb="FF000000"/>
      <name val="Cambria"/>
      <family val="1"/>
    </font>
    <font>
      <sz val="11"/>
      <color rgb="FF0000FF"/>
      <name val="Cambria"/>
      <family val="1"/>
    </font>
    <font>
      <sz val="9"/>
      <color rgb="FF00000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9"/>
      <color rgb="FF595959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b/>
      <sz val="9"/>
      <color rgb="FF1F3864"/>
      <name val="Arial"/>
      <family val="2"/>
    </font>
    <font>
      <i/>
      <sz val="11"/>
      <color rgb="FF888888"/>
      <name val="Cambria"/>
      <family val="1"/>
    </font>
    <font>
      <b/>
      <sz val="9"/>
      <name val="Arial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59595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B59B6"/>
        <bgColor rgb="FF7B4FB6"/>
      </patternFill>
    </fill>
    <fill>
      <patternFill patternType="solid">
        <fgColor rgb="FF7B4FB6"/>
        <bgColor rgb="FF9B59B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3B1F64"/>
        <bgColor rgb="FF1F3864"/>
      </patternFill>
    </fill>
    <fill>
      <patternFill patternType="solid">
        <fgColor rgb="FFC9B8E8"/>
        <bgColor rgb="FFCC99FF"/>
      </patternFill>
    </fill>
    <fill>
      <patternFill patternType="solid">
        <fgColor rgb="FFFF7F00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rgb="FF008080"/>
      </patternFill>
    </fill>
    <fill>
      <patternFill patternType="solid">
        <fgColor rgb="FFD9D9D9"/>
        <bgColor rgb="FFF2F2F2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6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16" fillId="0" borderId="0" xfId="0" applyFont="1"/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9" fontId="7" fillId="5" borderId="0" xfId="0" applyNumberFormat="1" applyFont="1" applyFill="1" applyAlignment="1">
      <alignment horizontal="center" vertical="center"/>
    </xf>
    <xf numFmtId="9" fontId="7" fillId="4" borderId="0" xfId="0" applyNumberFormat="1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166" fontId="9" fillId="5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0" fillId="4" borderId="0" xfId="0" applyFont="1" applyFill="1"/>
    <xf numFmtId="167" fontId="10" fillId="4" borderId="0" xfId="0" applyNumberFormat="1" applyFont="1" applyFill="1" applyAlignment="1">
      <alignment horizontal="center" vertical="center"/>
    </xf>
    <xf numFmtId="0" fontId="11" fillId="5" borderId="0" xfId="0" applyFont="1" applyFill="1"/>
    <xf numFmtId="167" fontId="11" fillId="5" borderId="0" xfId="0" applyNumberFormat="1" applyFont="1" applyFill="1" applyAlignment="1">
      <alignment horizontal="center" vertical="center"/>
    </xf>
    <xf numFmtId="0" fontId="11" fillId="4" borderId="0" xfId="0" applyFont="1" applyFill="1"/>
    <xf numFmtId="167" fontId="11" fillId="4" borderId="0" xfId="0" applyNumberFormat="1" applyFont="1" applyFill="1" applyAlignment="1">
      <alignment horizontal="center" vertical="center"/>
    </xf>
    <xf numFmtId="0" fontId="12" fillId="5" borderId="0" xfId="0" applyFont="1" applyFill="1"/>
    <xf numFmtId="167" fontId="12" fillId="5" borderId="0" xfId="0" applyNumberFormat="1" applyFont="1" applyFill="1" applyAlignment="1">
      <alignment horizontal="center" vertical="center"/>
    </xf>
    <xf numFmtId="0" fontId="12" fillId="4" borderId="0" xfId="0" applyFont="1" applyFill="1"/>
    <xf numFmtId="167" fontId="12" fillId="4" borderId="0" xfId="0" applyNumberFormat="1" applyFont="1" applyFill="1" applyAlignment="1">
      <alignment horizontal="center" vertical="center"/>
    </xf>
    <xf numFmtId="0" fontId="5" fillId="6" borderId="0" xfId="0" applyFont="1" applyFill="1"/>
    <xf numFmtId="167" fontId="5" fillId="6" borderId="0" xfId="0" applyNumberFormat="1" applyFont="1" applyFill="1" applyAlignment="1">
      <alignment horizontal="center" vertical="center"/>
    </xf>
    <xf numFmtId="0" fontId="13" fillId="0" borderId="0" xfId="0" applyFont="1"/>
    <xf numFmtId="165" fontId="13" fillId="0" borderId="0" xfId="0" applyNumberFormat="1" applyFont="1" applyAlignment="1">
      <alignment horizontal="center" vertical="center"/>
    </xf>
    <xf numFmtId="164" fontId="14" fillId="4" borderId="0" xfId="0" applyNumberFormat="1" applyFont="1" applyFill="1" applyAlignment="1">
      <alignment horizontal="center" vertical="center"/>
    </xf>
    <xf numFmtId="0" fontId="10" fillId="5" borderId="0" xfId="0" applyFont="1" applyFill="1"/>
    <xf numFmtId="165" fontId="13" fillId="5" borderId="0" xfId="0" applyNumberFormat="1" applyFont="1" applyFill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center" vertical="center"/>
    </xf>
    <xf numFmtId="166" fontId="10" fillId="4" borderId="0" xfId="0" applyNumberFormat="1" applyFont="1" applyFill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9" fontId="14" fillId="5" borderId="0" xfId="0" applyNumberFormat="1" applyFont="1" applyFill="1" applyAlignment="1">
      <alignment horizontal="center" vertical="center"/>
    </xf>
    <xf numFmtId="9" fontId="10" fillId="5" borderId="0" xfId="0" applyNumberFormat="1" applyFont="1" applyFill="1" applyAlignment="1">
      <alignment horizontal="center" vertical="center"/>
    </xf>
    <xf numFmtId="166" fontId="10" fillId="5" borderId="0" xfId="0" applyNumberFormat="1" applyFont="1" applyFill="1" applyAlignment="1">
      <alignment horizontal="center" vertical="center"/>
    </xf>
    <xf numFmtId="167" fontId="15" fillId="5" borderId="0" xfId="0" applyNumberFormat="1" applyFont="1" applyFill="1" applyAlignment="1">
      <alignment horizontal="center"/>
    </xf>
    <xf numFmtId="0" fontId="6" fillId="7" borderId="0" xfId="0" applyFont="1" applyFill="1"/>
    <xf numFmtId="168" fontId="6" fillId="7" borderId="0" xfId="0" applyNumberFormat="1" applyFont="1" applyFill="1" applyAlignment="1">
      <alignment horizontal="center" vertical="center"/>
    </xf>
    <xf numFmtId="165" fontId="14" fillId="5" borderId="0" xfId="0" applyNumberFormat="1" applyFont="1" applyFill="1" applyAlignment="1">
      <alignment horizontal="center" vertical="center"/>
    </xf>
    <xf numFmtId="168" fontId="14" fillId="5" borderId="0" xfId="0" applyNumberFormat="1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166" fontId="6" fillId="7" borderId="0" xfId="0" applyNumberFormat="1" applyFont="1" applyFill="1" applyAlignment="1">
      <alignment horizontal="center" vertical="center"/>
    </xf>
    <xf numFmtId="9" fontId="9" fillId="4" borderId="0" xfId="0" applyNumberFormat="1" applyFont="1" applyFill="1" applyAlignment="1">
      <alignment horizontal="center" vertical="center"/>
    </xf>
    <xf numFmtId="9" fontId="9" fillId="5" borderId="0" xfId="0" applyNumberFormat="1" applyFont="1" applyFill="1" applyAlignment="1">
      <alignment horizontal="center" vertical="center"/>
    </xf>
    <xf numFmtId="169" fontId="9" fillId="4" borderId="0" xfId="0" applyNumberFormat="1" applyFont="1" applyFill="1" applyAlignment="1">
      <alignment horizontal="center" vertical="center"/>
    </xf>
    <xf numFmtId="1" fontId="9" fillId="5" borderId="0" xfId="0" applyNumberFormat="1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165" fontId="17" fillId="5" borderId="0" xfId="0" applyNumberFormat="1" applyFont="1" applyFill="1" applyAlignment="1">
      <alignment horizontal="center" vertical="center"/>
    </xf>
    <xf numFmtId="168" fontId="17" fillId="7" borderId="0" xfId="0" applyNumberFormat="1" applyFont="1" applyFill="1" applyAlignment="1">
      <alignment horizontal="center" vertical="center"/>
    </xf>
    <xf numFmtId="170" fontId="14" fillId="5" borderId="0" xfId="0" applyNumberFormat="1" applyFont="1" applyFill="1" applyAlignment="1">
      <alignment horizontal="center" vertical="center"/>
    </xf>
    <xf numFmtId="166" fontId="14" fillId="5" borderId="0" xfId="0" applyNumberFormat="1" applyFont="1" applyFill="1" applyAlignment="1">
      <alignment horizontal="center" vertical="center"/>
    </xf>
    <xf numFmtId="1" fontId="8" fillId="3" borderId="0" xfId="0" applyNumberFormat="1" applyFont="1" applyFill="1" applyAlignment="1">
      <alignment horizontal="center" vertical="center"/>
    </xf>
    <xf numFmtId="9" fontId="18" fillId="8" borderId="0" xfId="0" applyNumberFormat="1" applyFont="1" applyFill="1" applyAlignment="1">
      <alignment horizontal="center" vertical="center"/>
    </xf>
    <xf numFmtId="9" fontId="15" fillId="9" borderId="0" xfId="0" applyNumberFormat="1" applyFont="1" applyFill="1" applyAlignment="1">
      <alignment horizontal="center" vertical="center"/>
    </xf>
    <xf numFmtId="9" fontId="15" fillId="10" borderId="0" xfId="0" applyNumberFormat="1" applyFont="1" applyFill="1" applyAlignment="1">
      <alignment horizontal="center" vertical="center"/>
    </xf>
    <xf numFmtId="9" fontId="15" fillId="11" borderId="0" xfId="0" applyNumberFormat="1" applyFont="1" applyFill="1" applyAlignment="1">
      <alignment horizontal="center" vertical="center"/>
    </xf>
    <xf numFmtId="9" fontId="15" fillId="12" borderId="0" xfId="0" applyNumberFormat="1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9" fontId="15" fillId="8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9" fontId="5" fillId="6" borderId="0" xfId="0" applyNumberFormat="1" applyFont="1" applyFill="1" applyAlignment="1">
      <alignment horizontal="center" vertical="center"/>
    </xf>
    <xf numFmtId="0" fontId="6" fillId="0" borderId="0" xfId="0" applyFont="1"/>
    <xf numFmtId="0" fontId="19" fillId="12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888888"/>
      <rgbColor rgb="FF9999FF"/>
      <rgbColor rgb="FF9B59B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7F00"/>
      <rgbColor rgb="FF7B4FB6"/>
      <rgbColor rgb="FF969696"/>
      <rgbColor rgb="FF1F3864"/>
      <rgbColor rgb="FF00B050"/>
      <rgbColor rgb="FF003300"/>
      <rgbColor rgb="FF333300"/>
      <rgbColor rgb="FF993300"/>
      <rgbColor rgb="FF993366"/>
      <rgbColor rgb="FF595959"/>
      <rgbColor rgb="FF3B1F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8"/>
  <sheetViews>
    <sheetView showGridLines="0" zoomScaleNormal="100" workbookViewId="0">
      <selection activeCell="C17" sqref="C17"/>
    </sheetView>
  </sheetViews>
  <sheetFormatPr baseColWidth="10" defaultColWidth="8.6640625" defaultRowHeight="15" x14ac:dyDescent="0.2"/>
  <cols>
    <col min="1" max="1" width="3" customWidth="1"/>
    <col min="2" max="2" width="35" customWidth="1"/>
    <col min="3" max="5" width="18" customWidth="1"/>
    <col min="6" max="6" width="3" customWidth="1"/>
  </cols>
  <sheetData>
    <row r="1" spans="2:5" ht="15" customHeight="1" x14ac:dyDescent="0.2">
      <c r="B1" t="s">
        <v>0</v>
      </c>
    </row>
    <row r="2" spans="2:5" ht="15" customHeight="1" x14ac:dyDescent="0.2">
      <c r="B2" s="12" t="s">
        <v>0</v>
      </c>
      <c r="C2" s="12"/>
      <c r="D2" s="12"/>
      <c r="E2" s="12"/>
    </row>
    <row r="3" spans="2:5" ht="15" customHeight="1" x14ac:dyDescent="0.2">
      <c r="B3" s="12"/>
      <c r="C3" s="12"/>
      <c r="D3" s="12"/>
      <c r="E3" s="12"/>
    </row>
    <row r="4" spans="2:5" ht="15" customHeight="1" x14ac:dyDescent="0.2">
      <c r="B4" s="11" t="s">
        <v>1</v>
      </c>
      <c r="C4" s="11"/>
      <c r="D4" s="11"/>
      <c r="E4" s="11"/>
    </row>
    <row r="5" spans="2:5" ht="15" customHeight="1" x14ac:dyDescent="0.2">
      <c r="B5" s="10" t="s">
        <v>2</v>
      </c>
      <c r="C5" s="10"/>
      <c r="D5" s="10"/>
      <c r="E5" s="10"/>
    </row>
    <row r="6" spans="2:5" ht="15" customHeight="1" x14ac:dyDescent="0.2">
      <c r="B6" s="13"/>
      <c r="C6" s="13"/>
      <c r="D6" s="13"/>
      <c r="E6" s="13"/>
    </row>
    <row r="8" spans="2:5" ht="15" customHeight="1" x14ac:dyDescent="0.2">
      <c r="B8" s="9" t="s">
        <v>3</v>
      </c>
      <c r="C8" s="9"/>
      <c r="D8" s="9"/>
      <c r="E8" s="9"/>
    </row>
    <row r="9" spans="2:5" ht="15" customHeight="1" x14ac:dyDescent="0.2">
      <c r="B9" s="14" t="s">
        <v>4</v>
      </c>
      <c r="C9" s="14" t="s">
        <v>5</v>
      </c>
      <c r="D9" s="14" t="s">
        <v>6</v>
      </c>
      <c r="E9" s="14" t="s">
        <v>7</v>
      </c>
    </row>
    <row r="10" spans="2:5" ht="15" customHeight="1" x14ac:dyDescent="0.2">
      <c r="B10" s="15" t="s">
        <v>8</v>
      </c>
      <c r="C10" s="16">
        <f>'ARR &amp; MRR'!E11</f>
        <v>68.599999999999994</v>
      </c>
      <c r="D10" s="16">
        <f>'ARR &amp; MRR'!F11</f>
        <v>97.5</v>
      </c>
      <c r="E10" s="16">
        <f>'ARR &amp; MRR'!G11</f>
        <v>136.1</v>
      </c>
    </row>
    <row r="11" spans="2:5" ht="15" customHeight="1" x14ac:dyDescent="0.2">
      <c r="B11" s="17" t="s">
        <v>9</v>
      </c>
      <c r="C11" s="18">
        <f>'ARR &amp; MRR'!E12</f>
        <v>0.42323651452282135</v>
      </c>
      <c r="D11" s="18">
        <f>'ARR &amp; MRR'!F12</f>
        <v>0.42128279883381936</v>
      </c>
      <c r="E11" s="18">
        <f>'ARR &amp; MRR'!G12</f>
        <v>0.28361498897869208</v>
      </c>
    </row>
    <row r="12" spans="2:5" ht="15" customHeight="1" x14ac:dyDescent="0.2">
      <c r="B12" s="15" t="s">
        <v>10</v>
      </c>
      <c r="C12" s="19">
        <f>'ARR &amp; MRR'!E11/12</f>
        <v>5.7166666666666659</v>
      </c>
      <c r="D12" s="19">
        <f>'ARR &amp; MRR'!F11/12</f>
        <v>8.125</v>
      </c>
      <c r="E12" s="19">
        <f>'ARR &amp; MRR'!G11/12</f>
        <v>11.341666666666667</v>
      </c>
    </row>
    <row r="13" spans="2:5" ht="15" customHeight="1" x14ac:dyDescent="0.2">
      <c r="B13" s="17" t="s">
        <v>11</v>
      </c>
      <c r="C13" s="20">
        <f>'ARR &amp; MRR'!E33</f>
        <v>1.18</v>
      </c>
      <c r="D13" s="20">
        <f>'ARR &amp; MRR'!F33</f>
        <v>1.21</v>
      </c>
      <c r="E13" s="20">
        <f>'ARR &amp; MRR'!G33</f>
        <v>1.24</v>
      </c>
    </row>
    <row r="14" spans="2:5" ht="15" customHeight="1" x14ac:dyDescent="0.2">
      <c r="B14" s="15" t="s">
        <v>12</v>
      </c>
      <c r="C14" s="21">
        <f>'ARR &amp; MRR'!E34</f>
        <v>0.88</v>
      </c>
      <c r="D14" s="21">
        <f>'ARR &amp; MRR'!F34</f>
        <v>0.89</v>
      </c>
      <c r="E14" s="21">
        <f>'ARR &amp; MRR'!G34</f>
        <v>0.9</v>
      </c>
    </row>
    <row r="15" spans="2:5" ht="15" customHeight="1" x14ac:dyDescent="0.2">
      <c r="B15" s="17" t="s">
        <v>13</v>
      </c>
      <c r="C15" s="22">
        <v>0.12</v>
      </c>
      <c r="D15" s="22">
        <v>0.11</v>
      </c>
      <c r="E15" s="22">
        <v>0.1</v>
      </c>
    </row>
    <row r="16" spans="2:5" ht="15" customHeight="1" x14ac:dyDescent="0.2">
      <c r="B16" s="15" t="s">
        <v>14</v>
      </c>
      <c r="C16" s="23">
        <v>18</v>
      </c>
      <c r="D16" s="23">
        <v>16</v>
      </c>
      <c r="E16" s="23">
        <v>14</v>
      </c>
    </row>
    <row r="17" spans="2:5" ht="15" customHeight="1" x14ac:dyDescent="0.2">
      <c r="B17" s="17" t="s">
        <v>15</v>
      </c>
      <c r="C17" s="24">
        <v>4.2</v>
      </c>
      <c r="D17" s="24">
        <v>5.0999999999999996</v>
      </c>
      <c r="E17" s="24">
        <v>6.2</v>
      </c>
    </row>
    <row r="18" spans="2:5" ht="15" customHeight="1" x14ac:dyDescent="0.2">
      <c r="B18" s="15" t="s">
        <v>16</v>
      </c>
      <c r="C18" s="23">
        <v>58</v>
      </c>
      <c r="D18" s="23">
        <v>67</v>
      </c>
      <c r="E18" s="23">
        <v>75</v>
      </c>
    </row>
  </sheetData>
  <mergeCells count="4">
    <mergeCell ref="B2:E3"/>
    <mergeCell ref="B4:E4"/>
    <mergeCell ref="B5:E5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6"/>
  <sheetViews>
    <sheetView showGridLines="0" zoomScaleNormal="100" workbookViewId="0">
      <selection activeCell="C8" sqref="C8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8" width="13" customWidth="1"/>
  </cols>
  <sheetData>
    <row r="1" spans="2:8" ht="21.75" customHeight="1" x14ac:dyDescent="0.2">
      <c r="B1" s="9" t="s">
        <v>17</v>
      </c>
      <c r="C1" s="9"/>
      <c r="D1" s="9"/>
      <c r="E1" s="9"/>
      <c r="F1" s="9"/>
      <c r="G1" s="9"/>
      <c r="H1" s="9"/>
    </row>
    <row r="2" spans="2:8" ht="15" customHeight="1" x14ac:dyDescent="0.2">
      <c r="B2" s="8" t="s">
        <v>18</v>
      </c>
      <c r="C2" s="8"/>
      <c r="D2" s="8"/>
      <c r="E2" s="8"/>
      <c r="F2" s="8"/>
      <c r="G2" s="8"/>
      <c r="H2" s="8"/>
    </row>
    <row r="4" spans="2:8" ht="15.75" customHeight="1" x14ac:dyDescent="0.2">
      <c r="B4" s="7" t="s">
        <v>19</v>
      </c>
      <c r="C4" s="7"/>
      <c r="D4" s="7"/>
      <c r="E4" s="7"/>
      <c r="F4" s="7"/>
      <c r="G4" s="7"/>
      <c r="H4" s="7"/>
    </row>
    <row r="5" spans="2:8" ht="15" customHeight="1" x14ac:dyDescent="0.2">
      <c r="B5" s="25" t="s">
        <v>20</v>
      </c>
      <c r="C5" s="14" t="s">
        <v>21</v>
      </c>
      <c r="D5" s="14" t="s">
        <v>22</v>
      </c>
      <c r="E5" s="14" t="s">
        <v>5</v>
      </c>
      <c r="F5" s="14" t="s">
        <v>6</v>
      </c>
      <c r="G5" s="14" t="s">
        <v>7</v>
      </c>
      <c r="H5" s="14" t="s">
        <v>23</v>
      </c>
    </row>
    <row r="6" spans="2:8" ht="15" customHeight="1" x14ac:dyDescent="0.2">
      <c r="B6" s="26" t="s">
        <v>24</v>
      </c>
      <c r="C6" s="27">
        <v>23.8</v>
      </c>
      <c r="D6" s="27">
        <v>33.9</v>
      </c>
      <c r="E6" s="27">
        <v>48.2</v>
      </c>
      <c r="F6" s="27">
        <v>68.599999999999994</v>
      </c>
      <c r="G6" s="27">
        <v>97.5</v>
      </c>
      <c r="H6" s="27">
        <v>136.1</v>
      </c>
    </row>
    <row r="7" spans="2:8" ht="15" customHeight="1" x14ac:dyDescent="0.2">
      <c r="B7" s="28" t="s">
        <v>25</v>
      </c>
      <c r="C7" s="29">
        <v>8.1999999999999993</v>
      </c>
      <c r="D7" s="29">
        <v>10.4</v>
      </c>
      <c r="E7" s="29">
        <v>13.8</v>
      </c>
      <c r="F7" s="29">
        <v>18.2</v>
      </c>
      <c r="G7" s="29">
        <v>23.8</v>
      </c>
      <c r="H7" s="29">
        <v>30.4</v>
      </c>
    </row>
    <row r="8" spans="2:8" ht="15" customHeight="1" x14ac:dyDescent="0.2">
      <c r="B8" s="30" t="s">
        <v>26</v>
      </c>
      <c r="C8" s="31">
        <v>4.8</v>
      </c>
      <c r="D8" s="31">
        <v>6.2</v>
      </c>
      <c r="E8" s="31">
        <v>8.6</v>
      </c>
      <c r="F8" s="31">
        <v>11.4</v>
      </c>
      <c r="G8" s="31">
        <v>15.2</v>
      </c>
      <c r="H8" s="31">
        <v>20.100000000000001</v>
      </c>
    </row>
    <row r="9" spans="2:8" ht="15" customHeight="1" x14ac:dyDescent="0.2">
      <c r="B9" s="32" t="s">
        <v>27</v>
      </c>
      <c r="C9" s="33">
        <v>-1.2</v>
      </c>
      <c r="D9" s="33">
        <v>-1.4</v>
      </c>
      <c r="E9" s="33">
        <v>-1.8</v>
      </c>
      <c r="F9" s="33">
        <v>-2.2000000000000002</v>
      </c>
      <c r="G9" s="33">
        <v>-2.8</v>
      </c>
      <c r="H9" s="33">
        <v>-3.4</v>
      </c>
    </row>
    <row r="10" spans="2:8" ht="15" customHeight="1" x14ac:dyDescent="0.2">
      <c r="B10" s="34" t="s">
        <v>28</v>
      </c>
      <c r="C10" s="35">
        <v>-2.8</v>
      </c>
      <c r="D10" s="35">
        <v>-3.4</v>
      </c>
      <c r="E10" s="35">
        <v>-4.2</v>
      </c>
      <c r="F10" s="35">
        <v>-5.2</v>
      </c>
      <c r="G10" s="35">
        <v>-6.4</v>
      </c>
      <c r="H10" s="35">
        <v>-7.8</v>
      </c>
    </row>
    <row r="11" spans="2:8" ht="15" customHeight="1" x14ac:dyDescent="0.2">
      <c r="B11" s="36" t="s">
        <v>29</v>
      </c>
      <c r="C11" s="37">
        <v>33.9</v>
      </c>
      <c r="D11" s="37">
        <v>48.2</v>
      </c>
      <c r="E11" s="37">
        <v>68.599999999999994</v>
      </c>
      <c r="F11" s="37">
        <v>97.5</v>
      </c>
      <c r="G11" s="37">
        <v>136.1</v>
      </c>
      <c r="H11" s="37">
        <v>188.2</v>
      </c>
    </row>
    <row r="12" spans="2:8" ht="15" customHeight="1" x14ac:dyDescent="0.2">
      <c r="B12" s="38" t="s">
        <v>30</v>
      </c>
      <c r="C12" s="39" t="s">
        <v>31</v>
      </c>
      <c r="D12" s="39">
        <f>(D11-C11)/C11</f>
        <v>0.42182890855457239</v>
      </c>
      <c r="E12" s="39">
        <f>(E11-D11)/D11</f>
        <v>0.42323651452282135</v>
      </c>
      <c r="F12" s="39">
        <f>(F11-E11)/E11</f>
        <v>0.42128279883381936</v>
      </c>
      <c r="G12" s="39">
        <f>(G11-F11)/G11</f>
        <v>0.28361498897869208</v>
      </c>
      <c r="H12" s="39">
        <f>(H11-G11)/H11</f>
        <v>0.27683315621679061</v>
      </c>
    </row>
    <row r="14" spans="2:8" ht="15.75" customHeight="1" x14ac:dyDescent="0.2">
      <c r="B14" s="7" t="s">
        <v>32</v>
      </c>
      <c r="C14" s="7"/>
      <c r="D14" s="7"/>
      <c r="E14" s="7"/>
      <c r="F14" s="7"/>
      <c r="G14" s="7"/>
      <c r="H14" s="7"/>
    </row>
    <row r="15" spans="2:8" ht="15" customHeight="1" x14ac:dyDescent="0.2">
      <c r="B15" s="25" t="s">
        <v>20</v>
      </c>
      <c r="C15" s="14" t="s">
        <v>21</v>
      </c>
      <c r="D15" s="14" t="s">
        <v>22</v>
      </c>
      <c r="E15" s="14" t="s">
        <v>5</v>
      </c>
      <c r="F15" s="14" t="s">
        <v>6</v>
      </c>
      <c r="G15" s="14" t="s">
        <v>7</v>
      </c>
      <c r="H15" s="14" t="s">
        <v>23</v>
      </c>
    </row>
    <row r="16" spans="2:8" ht="15" customHeight="1" x14ac:dyDescent="0.2">
      <c r="B16" s="26" t="s">
        <v>33</v>
      </c>
      <c r="C16" s="40">
        <v>2.8</v>
      </c>
      <c r="D16" s="40">
        <v>4</v>
      </c>
      <c r="E16" s="40">
        <v>5.7</v>
      </c>
      <c r="F16" s="40">
        <v>8.1</v>
      </c>
      <c r="G16" s="40">
        <v>11.3</v>
      </c>
      <c r="H16" s="40">
        <v>15.7</v>
      </c>
    </row>
    <row r="17" spans="2:8" ht="15" customHeight="1" x14ac:dyDescent="0.2">
      <c r="B17" s="41" t="s">
        <v>34</v>
      </c>
      <c r="C17" s="42"/>
      <c r="D17" s="43">
        <f>(D16-C16)/C16</f>
        <v>0.42857142857142866</v>
      </c>
      <c r="E17" s="43">
        <f>(E16-D16)/D16</f>
        <v>0.42500000000000004</v>
      </c>
      <c r="F17" s="43">
        <f>(F16-E16)/F16</f>
        <v>0.29629629629629622</v>
      </c>
      <c r="G17" s="43">
        <f>(G16-F16)/G16</f>
        <v>0.28318584070796465</v>
      </c>
      <c r="H17" s="43">
        <f>(H16-G16)/H16</f>
        <v>0.28025477707006363</v>
      </c>
    </row>
    <row r="18" spans="2:8" ht="15" customHeight="1" x14ac:dyDescent="0.2">
      <c r="B18" s="26" t="s">
        <v>35</v>
      </c>
      <c r="C18" s="40">
        <v>2.4</v>
      </c>
      <c r="D18" s="40">
        <v>3.2</v>
      </c>
      <c r="E18" s="40">
        <v>4.0999999999999996</v>
      </c>
      <c r="F18" s="40">
        <v>5.6</v>
      </c>
      <c r="G18" s="40">
        <v>7.4</v>
      </c>
      <c r="H18" s="40">
        <v>9.8000000000000007</v>
      </c>
    </row>
    <row r="19" spans="2:8" ht="15" customHeight="1" x14ac:dyDescent="0.2">
      <c r="B19" s="41" t="s">
        <v>36</v>
      </c>
      <c r="C19" s="44">
        <v>11.2</v>
      </c>
      <c r="D19" s="44">
        <v>15.8</v>
      </c>
      <c r="E19" s="44">
        <v>21.8</v>
      </c>
      <c r="F19" s="44">
        <v>30.2</v>
      </c>
      <c r="G19" s="44">
        <v>41.4</v>
      </c>
      <c r="H19" s="44">
        <v>55.6</v>
      </c>
    </row>
    <row r="20" spans="2:8" ht="15" customHeight="1" x14ac:dyDescent="0.2">
      <c r="B20" s="26" t="s">
        <v>37</v>
      </c>
      <c r="C20" s="45">
        <f t="shared" ref="C20:H20" si="0">C19/C16/12</f>
        <v>0.33333333333333331</v>
      </c>
      <c r="D20" s="45">
        <f t="shared" si="0"/>
        <v>0.32916666666666666</v>
      </c>
      <c r="E20" s="45">
        <f t="shared" si="0"/>
        <v>0.31871345029239767</v>
      </c>
      <c r="F20" s="45">
        <f t="shared" si="0"/>
        <v>0.31069958847736628</v>
      </c>
      <c r="G20" s="45">
        <f t="shared" si="0"/>
        <v>0.30530973451327431</v>
      </c>
      <c r="H20" s="45">
        <f t="shared" si="0"/>
        <v>0.29511677282377918</v>
      </c>
    </row>
    <row r="22" spans="2:8" ht="15.75" customHeight="1" x14ac:dyDescent="0.2">
      <c r="B22" s="7" t="s">
        <v>38</v>
      </c>
      <c r="C22" s="7"/>
      <c r="D22" s="7"/>
      <c r="E22" s="7"/>
      <c r="F22" s="7"/>
      <c r="G22" s="7"/>
      <c r="H22" s="7"/>
    </row>
    <row r="23" spans="2:8" ht="15" customHeight="1" x14ac:dyDescent="0.2">
      <c r="B23" s="25" t="s">
        <v>20</v>
      </c>
      <c r="C23" s="14" t="s">
        <v>21</v>
      </c>
      <c r="D23" s="14" t="s">
        <v>22</v>
      </c>
      <c r="E23" s="14" t="s">
        <v>5</v>
      </c>
      <c r="F23" s="14" t="s">
        <v>6</v>
      </c>
      <c r="G23" s="14" t="s">
        <v>7</v>
      </c>
      <c r="H23" s="14" t="s">
        <v>23</v>
      </c>
    </row>
    <row r="24" spans="2:8" ht="15" customHeight="1" x14ac:dyDescent="0.2">
      <c r="B24" s="26" t="s">
        <v>39</v>
      </c>
      <c r="C24" s="46">
        <v>142</v>
      </c>
      <c r="D24" s="46">
        <v>198</v>
      </c>
      <c r="E24" s="46">
        <v>268</v>
      </c>
      <c r="F24" s="46">
        <v>356</v>
      </c>
      <c r="G24" s="46">
        <v>468</v>
      </c>
      <c r="H24" s="46">
        <v>608</v>
      </c>
    </row>
    <row r="25" spans="2:8" ht="15" customHeight="1" x14ac:dyDescent="0.2">
      <c r="B25" s="41" t="s">
        <v>40</v>
      </c>
      <c r="C25" s="47">
        <v>68</v>
      </c>
      <c r="D25" s="47">
        <v>84</v>
      </c>
      <c r="E25" s="47">
        <v>108</v>
      </c>
      <c r="F25" s="47">
        <v>136</v>
      </c>
      <c r="G25" s="47">
        <v>168</v>
      </c>
      <c r="H25" s="47">
        <v>208</v>
      </c>
    </row>
    <row r="26" spans="2:8" ht="15" customHeight="1" x14ac:dyDescent="0.2">
      <c r="B26" s="26" t="s">
        <v>41</v>
      </c>
      <c r="C26" s="46">
        <v>12</v>
      </c>
      <c r="D26" s="46">
        <v>14</v>
      </c>
      <c r="E26" s="46">
        <v>20</v>
      </c>
      <c r="F26" s="46">
        <v>24</v>
      </c>
      <c r="G26" s="46">
        <v>28</v>
      </c>
      <c r="H26" s="46">
        <v>34</v>
      </c>
    </row>
    <row r="27" spans="2:8" ht="15" customHeight="1" x14ac:dyDescent="0.2">
      <c r="B27" s="41" t="s">
        <v>42</v>
      </c>
      <c r="C27" s="47">
        <v>198</v>
      </c>
      <c r="D27" s="47">
        <v>268</v>
      </c>
      <c r="E27" s="47">
        <v>356</v>
      </c>
      <c r="F27" s="47">
        <v>468</v>
      </c>
      <c r="G27" s="47">
        <v>608</v>
      </c>
      <c r="H27" s="47">
        <v>782</v>
      </c>
    </row>
    <row r="28" spans="2:8" ht="15" customHeight="1" x14ac:dyDescent="0.2">
      <c r="B28" s="26" t="s">
        <v>13</v>
      </c>
      <c r="C28" s="48">
        <f t="shared" ref="C28:H28" si="1">C26/C24</f>
        <v>8.4507042253521125E-2</v>
      </c>
      <c r="D28" s="48">
        <f t="shared" si="1"/>
        <v>7.0707070707070704E-2</v>
      </c>
      <c r="E28" s="48">
        <f t="shared" si="1"/>
        <v>7.4626865671641784E-2</v>
      </c>
      <c r="F28" s="48">
        <f t="shared" si="1"/>
        <v>6.741573033707865E-2</v>
      </c>
      <c r="G28" s="48">
        <f t="shared" si="1"/>
        <v>5.9829059829059832E-2</v>
      </c>
      <c r="H28" s="48">
        <f t="shared" si="1"/>
        <v>5.5921052631578948E-2</v>
      </c>
    </row>
    <row r="29" spans="2:8" ht="15" customHeight="1" x14ac:dyDescent="0.2">
      <c r="B29" s="41" t="s">
        <v>43</v>
      </c>
      <c r="C29" s="49">
        <f t="shared" ref="C29:H29" si="2">C11/C27*1000</f>
        <v>171.21212121212122</v>
      </c>
      <c r="D29" s="49">
        <f t="shared" si="2"/>
        <v>179.85074626865671</v>
      </c>
      <c r="E29" s="49">
        <f t="shared" si="2"/>
        <v>192.69662921348313</v>
      </c>
      <c r="F29" s="49">
        <f t="shared" si="2"/>
        <v>208.33333333333334</v>
      </c>
      <c r="G29" s="49">
        <f t="shared" si="2"/>
        <v>223.8486842105263</v>
      </c>
      <c r="H29" s="49">
        <f t="shared" si="2"/>
        <v>240.66496163682862</v>
      </c>
    </row>
    <row r="31" spans="2:8" ht="15.75" customHeight="1" x14ac:dyDescent="0.2">
      <c r="B31" s="7" t="s">
        <v>44</v>
      </c>
      <c r="C31" s="7"/>
      <c r="D31" s="7"/>
      <c r="E31" s="7"/>
      <c r="F31" s="7"/>
      <c r="G31" s="7"/>
      <c r="H31" s="7"/>
    </row>
    <row r="32" spans="2:8" ht="15" customHeight="1" x14ac:dyDescent="0.2">
      <c r="B32" s="25" t="s">
        <v>20</v>
      </c>
      <c r="C32" s="14" t="s">
        <v>21</v>
      </c>
      <c r="D32" s="14" t="s">
        <v>22</v>
      </c>
      <c r="E32" s="14" t="s">
        <v>5</v>
      </c>
      <c r="F32" s="14" t="s">
        <v>6</v>
      </c>
      <c r="G32" s="14" t="s">
        <v>7</v>
      </c>
      <c r="H32" s="14" t="s">
        <v>23</v>
      </c>
    </row>
    <row r="33" spans="2:8" ht="15" customHeight="1" x14ac:dyDescent="0.2">
      <c r="B33" s="41" t="s">
        <v>45</v>
      </c>
      <c r="C33" s="50">
        <v>1.1200000000000001</v>
      </c>
      <c r="D33" s="50">
        <v>1.1399999999999999</v>
      </c>
      <c r="E33" s="50">
        <v>1.18</v>
      </c>
      <c r="F33" s="50">
        <v>1.21</v>
      </c>
      <c r="G33" s="50">
        <v>1.24</v>
      </c>
      <c r="H33" s="50">
        <v>1.27</v>
      </c>
    </row>
    <row r="34" spans="2:8" ht="15" customHeight="1" x14ac:dyDescent="0.2">
      <c r="B34" s="41" t="s">
        <v>46</v>
      </c>
      <c r="C34" s="50">
        <v>0.85</v>
      </c>
      <c r="D34" s="50">
        <v>0.86</v>
      </c>
      <c r="E34" s="50">
        <v>0.88</v>
      </c>
      <c r="F34" s="50">
        <v>0.89</v>
      </c>
      <c r="G34" s="50">
        <v>0.9</v>
      </c>
      <c r="H34" s="50">
        <v>0.91</v>
      </c>
    </row>
    <row r="35" spans="2:8" ht="15" customHeight="1" x14ac:dyDescent="0.2">
      <c r="B35" s="41" t="s">
        <v>47</v>
      </c>
      <c r="C35" s="51">
        <f t="shared" ref="C35:H35" si="3">C33-C34</f>
        <v>0.27000000000000013</v>
      </c>
      <c r="D35" s="51">
        <f t="shared" si="3"/>
        <v>0.27999999999999992</v>
      </c>
      <c r="E35" s="51">
        <f t="shared" si="3"/>
        <v>0.29999999999999993</v>
      </c>
      <c r="F35" s="51">
        <f t="shared" si="3"/>
        <v>0.31999999999999995</v>
      </c>
      <c r="G35" s="51">
        <f t="shared" si="3"/>
        <v>0.33999999999999997</v>
      </c>
      <c r="H35" s="51">
        <f t="shared" si="3"/>
        <v>0.36</v>
      </c>
    </row>
    <row r="36" spans="2:8" ht="15" customHeight="1" x14ac:dyDescent="0.2">
      <c r="B36" s="41" t="s">
        <v>48</v>
      </c>
      <c r="C36" s="52">
        <f t="shared" ref="C36:H36" si="4">(C7+C8)/(ABS(C9)+ABS(C10))</f>
        <v>3.25</v>
      </c>
      <c r="D36" s="52">
        <f t="shared" si="4"/>
        <v>3.4583333333333339</v>
      </c>
      <c r="E36" s="52">
        <f t="shared" si="4"/>
        <v>3.7333333333333329</v>
      </c>
      <c r="F36" s="52">
        <f t="shared" si="4"/>
        <v>4</v>
      </c>
      <c r="G36" s="52">
        <f t="shared" si="4"/>
        <v>4.2391304347826093</v>
      </c>
      <c r="H36" s="52">
        <f t="shared" si="4"/>
        <v>4.5089285714285721</v>
      </c>
    </row>
  </sheetData>
  <mergeCells count="6">
    <mergeCell ref="B31:H31"/>
    <mergeCell ref="B1:H1"/>
    <mergeCell ref="B2:H2"/>
    <mergeCell ref="B4:H4"/>
    <mergeCell ref="B14:H14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7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3" customWidth="1"/>
  </cols>
  <sheetData>
    <row r="1" spans="2:8" ht="15.75" customHeight="1" x14ac:dyDescent="0.2">
      <c r="B1" s="9" t="s">
        <v>49</v>
      </c>
      <c r="C1" s="9"/>
      <c r="D1" s="9"/>
      <c r="E1" s="9"/>
      <c r="F1" s="9"/>
      <c r="G1" s="9"/>
      <c r="H1" s="9"/>
    </row>
    <row r="3" spans="2:8" ht="15.75" customHeight="1" x14ac:dyDescent="0.2">
      <c r="B3" s="7" t="s">
        <v>50</v>
      </c>
      <c r="C3" s="7"/>
      <c r="D3" s="7"/>
      <c r="E3" s="7"/>
      <c r="F3" s="7"/>
      <c r="G3" s="7"/>
      <c r="H3" s="7"/>
    </row>
    <row r="4" spans="2:8" ht="15" customHeight="1" x14ac:dyDescent="0.2">
      <c r="B4" s="25" t="s">
        <v>20</v>
      </c>
      <c r="C4" s="14" t="s">
        <v>21</v>
      </c>
      <c r="D4" s="14" t="s">
        <v>22</v>
      </c>
      <c r="E4" s="14" t="s">
        <v>5</v>
      </c>
      <c r="F4" s="14" t="s">
        <v>6</v>
      </c>
      <c r="G4" s="14" t="s">
        <v>7</v>
      </c>
      <c r="H4" s="14" t="s">
        <v>23</v>
      </c>
    </row>
    <row r="5" spans="2:8" ht="15" customHeight="1" x14ac:dyDescent="0.2">
      <c r="B5" s="41" t="s">
        <v>51</v>
      </c>
      <c r="C5" s="44">
        <v>8.1999999999999993</v>
      </c>
      <c r="D5" s="44">
        <v>10.8</v>
      </c>
      <c r="E5" s="44">
        <v>14.2</v>
      </c>
      <c r="F5" s="44">
        <v>18.399999999999999</v>
      </c>
      <c r="G5" s="44">
        <v>23.6</v>
      </c>
      <c r="H5" s="44">
        <v>30.1</v>
      </c>
    </row>
    <row r="6" spans="2:8" ht="15" customHeight="1" x14ac:dyDescent="0.2">
      <c r="B6" s="41" t="s">
        <v>52</v>
      </c>
      <c r="C6" s="47">
        <v>68</v>
      </c>
      <c r="D6" s="47">
        <v>84</v>
      </c>
      <c r="E6" s="47">
        <v>108</v>
      </c>
      <c r="F6" s="47">
        <v>136</v>
      </c>
      <c r="G6" s="47">
        <v>168</v>
      </c>
      <c r="H6" s="47">
        <v>208</v>
      </c>
    </row>
    <row r="7" spans="2:8" ht="15" customHeight="1" x14ac:dyDescent="0.2">
      <c r="B7" s="41" t="s">
        <v>53</v>
      </c>
      <c r="C7" s="53">
        <f t="shared" ref="C7:H7" si="0">C5*1000/C6</f>
        <v>120.58823529411765</v>
      </c>
      <c r="D7" s="53">
        <f t="shared" si="0"/>
        <v>128.57142857142858</v>
      </c>
      <c r="E7" s="53">
        <f t="shared" si="0"/>
        <v>131.4814814814815</v>
      </c>
      <c r="F7" s="53">
        <f t="shared" si="0"/>
        <v>135.29411764705881</v>
      </c>
      <c r="G7" s="53">
        <f t="shared" si="0"/>
        <v>140.47619047619048</v>
      </c>
      <c r="H7" s="53">
        <f t="shared" si="0"/>
        <v>144.71153846153845</v>
      </c>
    </row>
    <row r="8" spans="2:8" ht="15" customHeight="1" x14ac:dyDescent="0.2">
      <c r="B8" s="41" t="s">
        <v>54</v>
      </c>
      <c r="C8" s="44">
        <v>28.4</v>
      </c>
      <c r="D8" s="44">
        <v>31.2</v>
      </c>
      <c r="E8" s="44">
        <v>36.799999999999997</v>
      </c>
      <c r="F8" s="44">
        <v>41.4</v>
      </c>
      <c r="G8" s="44">
        <v>46.2</v>
      </c>
      <c r="H8" s="44">
        <v>52.8</v>
      </c>
    </row>
    <row r="9" spans="2:8" ht="15" customHeight="1" x14ac:dyDescent="0.2">
      <c r="B9" s="54" t="s">
        <v>55</v>
      </c>
      <c r="C9" s="55">
        <f t="shared" ref="C9:H9" si="1">C7/(C8/12)</f>
        <v>50.952775476387743</v>
      </c>
      <c r="D9" s="55">
        <f t="shared" si="1"/>
        <v>49.450549450549453</v>
      </c>
      <c r="E9" s="55">
        <f t="shared" si="1"/>
        <v>42.874396135265705</v>
      </c>
      <c r="F9" s="55">
        <f t="shared" si="1"/>
        <v>39.215686274509807</v>
      </c>
      <c r="G9" s="55">
        <f t="shared" si="1"/>
        <v>36.487322201607917</v>
      </c>
      <c r="H9" s="55">
        <f t="shared" si="1"/>
        <v>32.888986013986013</v>
      </c>
    </row>
    <row r="11" spans="2:8" ht="15.75" customHeight="1" x14ac:dyDescent="0.2">
      <c r="B11" s="7" t="s">
        <v>56</v>
      </c>
      <c r="C11" s="7"/>
      <c r="D11" s="7"/>
      <c r="E11" s="7"/>
      <c r="F11" s="7"/>
      <c r="G11" s="7"/>
      <c r="H11" s="7"/>
    </row>
    <row r="12" spans="2:8" ht="15" customHeight="1" x14ac:dyDescent="0.2">
      <c r="B12" s="25" t="s">
        <v>20</v>
      </c>
      <c r="C12" s="14" t="s">
        <v>21</v>
      </c>
      <c r="D12" s="14" t="s">
        <v>22</v>
      </c>
      <c r="E12" s="14" t="s">
        <v>5</v>
      </c>
      <c r="F12" s="14" t="s">
        <v>6</v>
      </c>
      <c r="G12" s="14" t="s">
        <v>7</v>
      </c>
      <c r="H12" s="14" t="s">
        <v>23</v>
      </c>
    </row>
    <row r="13" spans="2:8" ht="15" customHeight="1" x14ac:dyDescent="0.2">
      <c r="B13" s="41" t="s">
        <v>57</v>
      </c>
      <c r="C13" s="56">
        <v>0.68</v>
      </c>
      <c r="D13" s="56">
        <v>0.7</v>
      </c>
      <c r="E13" s="56">
        <v>0.72399999999999998</v>
      </c>
      <c r="F13" s="56">
        <v>0.74099999999999999</v>
      </c>
      <c r="G13" s="56">
        <v>0.75800000000000001</v>
      </c>
      <c r="H13" s="56">
        <v>0.77200000000000002</v>
      </c>
    </row>
    <row r="14" spans="2:8" ht="15" customHeight="1" x14ac:dyDescent="0.2">
      <c r="B14" s="41" t="s">
        <v>58</v>
      </c>
      <c r="C14" s="57">
        <v>4.2</v>
      </c>
      <c r="D14" s="57">
        <v>4.5999999999999996</v>
      </c>
      <c r="E14" s="57">
        <v>5.0999999999999996</v>
      </c>
      <c r="F14" s="57">
        <v>5.8</v>
      </c>
      <c r="G14" s="57">
        <v>6.4</v>
      </c>
      <c r="H14" s="57">
        <v>7.1</v>
      </c>
    </row>
    <row r="15" spans="2:8" ht="15" customHeight="1" x14ac:dyDescent="0.2">
      <c r="B15" s="41" t="s">
        <v>59</v>
      </c>
      <c r="C15" s="49">
        <f t="shared" ref="C15:H15" si="2">C8*C13</f>
        <v>19.312000000000001</v>
      </c>
      <c r="D15" s="49">
        <f t="shared" si="2"/>
        <v>21.84</v>
      </c>
      <c r="E15" s="49">
        <f t="shared" si="2"/>
        <v>26.643199999999997</v>
      </c>
      <c r="F15" s="49">
        <f t="shared" si="2"/>
        <v>30.677399999999999</v>
      </c>
      <c r="G15" s="49">
        <f t="shared" si="2"/>
        <v>35.019600000000004</v>
      </c>
      <c r="H15" s="49">
        <f t="shared" si="2"/>
        <v>40.761600000000001</v>
      </c>
    </row>
    <row r="16" spans="2:8" ht="15" customHeight="1" x14ac:dyDescent="0.2">
      <c r="B16" s="54" t="s">
        <v>60</v>
      </c>
      <c r="C16" s="58">
        <f t="shared" ref="C16:H16" si="3">C15*C14</f>
        <v>81.110400000000013</v>
      </c>
      <c r="D16" s="58">
        <f t="shared" si="3"/>
        <v>100.464</v>
      </c>
      <c r="E16" s="58">
        <f t="shared" si="3"/>
        <v>135.88031999999998</v>
      </c>
      <c r="F16" s="58">
        <f t="shared" si="3"/>
        <v>177.92891999999998</v>
      </c>
      <c r="G16" s="58">
        <f t="shared" si="3"/>
        <v>224.12544000000003</v>
      </c>
      <c r="H16" s="58">
        <f t="shared" si="3"/>
        <v>289.40735999999998</v>
      </c>
    </row>
    <row r="17" spans="2:8" ht="15" customHeight="1" x14ac:dyDescent="0.2">
      <c r="B17" s="54" t="s">
        <v>15</v>
      </c>
      <c r="C17" s="59">
        <f t="shared" ref="C17:H17" si="4">C16/C7</f>
        <v>0.67262282926829275</v>
      </c>
      <c r="D17" s="59">
        <f t="shared" si="4"/>
        <v>0.78138666666666656</v>
      </c>
      <c r="E17" s="59">
        <f t="shared" si="4"/>
        <v>1.0334559549295772</v>
      </c>
      <c r="F17" s="59">
        <f t="shared" si="4"/>
        <v>1.3151268</v>
      </c>
      <c r="G17" s="59">
        <f t="shared" si="4"/>
        <v>1.5954692338983052</v>
      </c>
      <c r="H17" s="59">
        <f t="shared" si="4"/>
        <v>1.9998913913621263</v>
      </c>
    </row>
    <row r="19" spans="2:8" ht="15.75" customHeight="1" x14ac:dyDescent="0.2">
      <c r="B19" s="6" t="s">
        <v>61</v>
      </c>
      <c r="C19" s="6"/>
      <c r="D19" s="6"/>
      <c r="E19" s="6"/>
      <c r="F19" s="6"/>
      <c r="G19" s="6"/>
      <c r="H19" s="6"/>
    </row>
    <row r="20" spans="2:8" ht="15" customHeight="1" x14ac:dyDescent="0.2">
      <c r="B20" s="5" t="s">
        <v>62</v>
      </c>
      <c r="C20" s="5"/>
      <c r="D20" s="5"/>
      <c r="E20" s="5"/>
      <c r="F20" s="5" t="s">
        <v>63</v>
      </c>
      <c r="G20" s="5"/>
      <c r="H20" s="5"/>
    </row>
    <row r="21" spans="2:8" ht="15" customHeight="1" x14ac:dyDescent="0.2">
      <c r="C21" s="14" t="s">
        <v>5</v>
      </c>
      <c r="D21" s="14" t="s">
        <v>6</v>
      </c>
      <c r="E21" s="14" t="s">
        <v>7</v>
      </c>
      <c r="F21" s="14" t="s">
        <v>5</v>
      </c>
      <c r="G21" s="14" t="s">
        <v>6</v>
      </c>
      <c r="H21" s="14" t="s">
        <v>7</v>
      </c>
    </row>
    <row r="22" spans="2:8" ht="15" customHeight="1" x14ac:dyDescent="0.2">
      <c r="B22" s="26" t="s">
        <v>64</v>
      </c>
      <c r="C22" s="60">
        <v>0.72</v>
      </c>
      <c r="D22" s="60">
        <v>0.71</v>
      </c>
      <c r="E22" s="60">
        <v>0.7</v>
      </c>
      <c r="F22" s="60">
        <v>0.28000000000000003</v>
      </c>
      <c r="G22" s="60">
        <v>0.28999999999999998</v>
      </c>
      <c r="H22" s="60">
        <v>0.3</v>
      </c>
    </row>
    <row r="23" spans="2:8" ht="15" customHeight="1" x14ac:dyDescent="0.2">
      <c r="B23" s="41" t="s">
        <v>65</v>
      </c>
      <c r="C23" s="61">
        <v>0.34</v>
      </c>
      <c r="D23" s="61">
        <v>0.33</v>
      </c>
      <c r="E23" s="61">
        <v>0.31</v>
      </c>
      <c r="F23" s="61">
        <v>0.66</v>
      </c>
      <c r="G23" s="61">
        <v>0.67</v>
      </c>
      <c r="H23" s="61">
        <v>0.69</v>
      </c>
    </row>
    <row r="24" spans="2:8" ht="15" customHeight="1" x14ac:dyDescent="0.2">
      <c r="B24" s="26" t="s">
        <v>66</v>
      </c>
      <c r="C24" s="62">
        <v>4.2</v>
      </c>
      <c r="D24" s="62">
        <v>4.8</v>
      </c>
      <c r="E24" s="62">
        <v>5.2</v>
      </c>
      <c r="F24" s="62">
        <v>42</v>
      </c>
      <c r="G24" s="62">
        <v>48</v>
      </c>
      <c r="H24" s="62">
        <v>55</v>
      </c>
    </row>
    <row r="25" spans="2:8" ht="15" customHeight="1" x14ac:dyDescent="0.2">
      <c r="B25" s="41" t="s">
        <v>67</v>
      </c>
      <c r="C25" s="61">
        <v>0.18</v>
      </c>
      <c r="D25" s="61">
        <v>0.17</v>
      </c>
      <c r="E25" s="61">
        <v>0.16</v>
      </c>
      <c r="F25" s="61">
        <v>7.0000000000000007E-2</v>
      </c>
      <c r="G25" s="61">
        <v>0.06</v>
      </c>
      <c r="H25" s="61">
        <v>0.05</v>
      </c>
    </row>
    <row r="26" spans="2:8" ht="15" customHeight="1" x14ac:dyDescent="0.2">
      <c r="B26" s="26" t="s">
        <v>68</v>
      </c>
      <c r="C26" s="60">
        <v>1.08</v>
      </c>
      <c r="D26" s="60">
        <v>1.0900000000000001</v>
      </c>
      <c r="E26" s="60">
        <v>1.1100000000000001</v>
      </c>
      <c r="F26" s="60">
        <v>1.28</v>
      </c>
      <c r="G26" s="60">
        <v>1.31</v>
      </c>
      <c r="H26" s="60">
        <v>1.35</v>
      </c>
    </row>
    <row r="27" spans="2:8" ht="15" customHeight="1" x14ac:dyDescent="0.2">
      <c r="B27" s="41" t="s">
        <v>69</v>
      </c>
      <c r="C27" s="63">
        <v>12</v>
      </c>
      <c r="D27" s="63">
        <v>11</v>
      </c>
      <c r="E27" s="63">
        <v>10</v>
      </c>
      <c r="F27" s="63">
        <v>22</v>
      </c>
      <c r="G27" s="63">
        <v>20</v>
      </c>
      <c r="H27" s="63">
        <v>18</v>
      </c>
    </row>
    <row r="28" spans="2:8" ht="15" customHeight="1" x14ac:dyDescent="0.2">
      <c r="B28" s="26" t="s">
        <v>70</v>
      </c>
      <c r="C28" s="64">
        <v>3.1</v>
      </c>
      <c r="D28" s="64">
        <v>3.4</v>
      </c>
      <c r="E28" s="64">
        <v>3.8</v>
      </c>
      <c r="F28" s="64">
        <v>5.8</v>
      </c>
      <c r="G28" s="64">
        <v>6.4</v>
      </c>
      <c r="H28" s="64">
        <v>7.2</v>
      </c>
    </row>
    <row r="31" spans="2:8" ht="15.75" customHeight="1" x14ac:dyDescent="0.2">
      <c r="B31" s="6" t="s">
        <v>71</v>
      </c>
      <c r="C31" s="6"/>
      <c r="D31" s="6"/>
      <c r="E31" s="6"/>
      <c r="F31" s="6"/>
      <c r="G31" s="6"/>
      <c r="H31" s="6"/>
    </row>
    <row r="32" spans="2:8" ht="15" customHeight="1" x14ac:dyDescent="0.2">
      <c r="B32" s="25" t="s">
        <v>20</v>
      </c>
      <c r="C32" s="14" t="s">
        <v>21</v>
      </c>
      <c r="D32" s="14" t="s">
        <v>22</v>
      </c>
      <c r="E32" s="14" t="s">
        <v>5</v>
      </c>
      <c r="F32" s="14" t="s">
        <v>6</v>
      </c>
      <c r="G32" s="14" t="s">
        <v>7</v>
      </c>
      <c r="H32" s="14" t="s">
        <v>23</v>
      </c>
    </row>
    <row r="33" spans="2:8" ht="15" customHeight="1" x14ac:dyDescent="0.2">
      <c r="B33" s="41" t="s">
        <v>72</v>
      </c>
      <c r="C33" s="65" t="s">
        <v>31</v>
      </c>
      <c r="D33" s="56">
        <v>42.8</v>
      </c>
      <c r="E33" s="56">
        <v>44.2</v>
      </c>
      <c r="F33" s="56">
        <v>42.4</v>
      </c>
      <c r="G33" s="56">
        <v>39.4</v>
      </c>
      <c r="H33" s="56">
        <v>38.1</v>
      </c>
    </row>
    <row r="34" spans="2:8" ht="15" customHeight="1" x14ac:dyDescent="0.2">
      <c r="B34" s="41" t="s">
        <v>73</v>
      </c>
      <c r="C34" s="56">
        <v>-18.2</v>
      </c>
      <c r="D34" s="56">
        <v>-12.4</v>
      </c>
      <c r="E34" s="56">
        <v>-6.2</v>
      </c>
      <c r="F34" s="56">
        <v>1.8</v>
      </c>
      <c r="G34" s="56">
        <v>8.4</v>
      </c>
      <c r="H34" s="56">
        <v>14.2</v>
      </c>
    </row>
    <row r="35" spans="2:8" ht="15" customHeight="1" x14ac:dyDescent="0.2">
      <c r="B35" s="54" t="s">
        <v>16</v>
      </c>
      <c r="C35" s="66" t="s">
        <v>31</v>
      </c>
      <c r="D35" s="55">
        <f>D33+D34</f>
        <v>30.4</v>
      </c>
      <c r="E35" s="55">
        <f>E33+E34</f>
        <v>38</v>
      </c>
      <c r="F35" s="55">
        <f>F33+F34</f>
        <v>44.199999999999996</v>
      </c>
      <c r="G35" s="55">
        <f>G33+G34</f>
        <v>47.8</v>
      </c>
      <c r="H35" s="55">
        <f>H33+H34</f>
        <v>52.3</v>
      </c>
    </row>
    <row r="36" spans="2:8" ht="15" customHeight="1" x14ac:dyDescent="0.2">
      <c r="B36" s="41" t="s">
        <v>74</v>
      </c>
      <c r="C36" s="67">
        <v>0.42</v>
      </c>
      <c r="D36" s="67">
        <v>0.57999999999999996</v>
      </c>
      <c r="E36" s="67">
        <v>0.74</v>
      </c>
      <c r="F36" s="67">
        <v>0.88</v>
      </c>
      <c r="G36" s="67">
        <v>1.02</v>
      </c>
      <c r="H36" s="67">
        <v>1.18</v>
      </c>
    </row>
    <row r="37" spans="2:8" ht="15" customHeight="1" x14ac:dyDescent="0.2">
      <c r="B37" s="41" t="s">
        <v>75</v>
      </c>
      <c r="C37" s="68">
        <v>3.8</v>
      </c>
      <c r="D37" s="68">
        <v>2.6</v>
      </c>
      <c r="E37" s="68">
        <v>1.4</v>
      </c>
      <c r="F37" s="68">
        <v>0.8</v>
      </c>
      <c r="G37" s="68">
        <v>0.4</v>
      </c>
      <c r="H37" s="68">
        <v>0.2</v>
      </c>
    </row>
  </sheetData>
  <mergeCells count="7">
    <mergeCell ref="B31:H31"/>
    <mergeCell ref="B1:H1"/>
    <mergeCell ref="B3:H3"/>
    <mergeCell ref="B11:H11"/>
    <mergeCell ref="B19:H19"/>
    <mergeCell ref="B20:E20"/>
    <mergeCell ref="F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1"/>
  <sheetViews>
    <sheetView showGridLines="0" tabSelected="1" zoomScaleNormal="100" workbookViewId="0">
      <selection activeCell="E17" sqref="E17"/>
    </sheetView>
  </sheetViews>
  <sheetFormatPr baseColWidth="10" defaultColWidth="8.6640625" defaultRowHeight="15" x14ac:dyDescent="0.2"/>
  <cols>
    <col min="1" max="1" width="3" customWidth="1"/>
    <col min="2" max="2" width="16" customWidth="1"/>
    <col min="3" max="10" width="11" customWidth="1"/>
  </cols>
  <sheetData>
    <row r="1" spans="2:10" ht="15.75" customHeight="1" x14ac:dyDescent="0.2">
      <c r="B1" s="9" t="s">
        <v>76</v>
      </c>
      <c r="C1" s="9"/>
      <c r="D1" s="9"/>
      <c r="E1" s="9"/>
      <c r="F1" s="9"/>
      <c r="G1" s="9"/>
      <c r="H1" s="9"/>
      <c r="I1" s="9"/>
      <c r="J1" s="9"/>
    </row>
    <row r="2" spans="2:10" ht="15" customHeight="1" x14ac:dyDescent="0.2">
      <c r="B2" s="4" t="s">
        <v>77</v>
      </c>
      <c r="C2" s="4"/>
      <c r="D2" s="4"/>
      <c r="E2" s="4"/>
      <c r="F2" s="4"/>
      <c r="G2" s="4"/>
      <c r="H2" s="4"/>
      <c r="I2" s="4"/>
      <c r="J2" s="4"/>
    </row>
    <row r="4" spans="2:10" ht="15" customHeight="1" x14ac:dyDescent="0.2">
      <c r="B4" s="3" t="s">
        <v>78</v>
      </c>
      <c r="C4" s="2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</row>
    <row r="5" spans="2:10" ht="15" customHeight="1" x14ac:dyDescent="0.2">
      <c r="B5" s="3"/>
      <c r="C5" s="3"/>
      <c r="D5" s="3"/>
      <c r="E5" s="3"/>
      <c r="F5" s="3"/>
      <c r="G5" s="3"/>
      <c r="H5" s="3"/>
      <c r="I5" s="3"/>
      <c r="J5" s="3"/>
    </row>
    <row r="6" spans="2:10" ht="15" customHeight="1" x14ac:dyDescent="0.2">
      <c r="B6" s="69">
        <v>2018</v>
      </c>
      <c r="C6" s="70">
        <v>1</v>
      </c>
      <c r="D6" s="71">
        <v>1.1200000000000001</v>
      </c>
      <c r="E6" s="72">
        <v>1.22</v>
      </c>
      <c r="F6" s="73">
        <v>1.3</v>
      </c>
      <c r="G6" s="73">
        <v>1.36</v>
      </c>
      <c r="H6" s="74">
        <v>1.41</v>
      </c>
      <c r="I6" s="74">
        <v>1.44</v>
      </c>
      <c r="J6" s="74">
        <v>1.46</v>
      </c>
    </row>
    <row r="7" spans="2:10" ht="15" customHeight="1" x14ac:dyDescent="0.2">
      <c r="B7" s="69">
        <v>2019</v>
      </c>
      <c r="C7" s="70">
        <v>1</v>
      </c>
      <c r="D7" s="71">
        <v>1.1000000000000001</v>
      </c>
      <c r="E7" s="72">
        <v>1.21</v>
      </c>
      <c r="F7" s="72">
        <v>1.29</v>
      </c>
      <c r="G7" s="73">
        <v>1.35</v>
      </c>
      <c r="H7" s="74">
        <v>1.4</v>
      </c>
      <c r="I7" s="74">
        <v>1.44</v>
      </c>
      <c r="J7" s="75"/>
    </row>
    <row r="8" spans="2:10" ht="15" customHeight="1" x14ac:dyDescent="0.2">
      <c r="B8" s="69">
        <v>2020</v>
      </c>
      <c r="C8" s="70">
        <v>1</v>
      </c>
      <c r="D8" s="76">
        <v>1.08</v>
      </c>
      <c r="E8" s="71">
        <v>1.18</v>
      </c>
      <c r="F8" s="72">
        <v>1.27</v>
      </c>
      <c r="G8" s="73">
        <v>1.34</v>
      </c>
      <c r="H8" s="73">
        <v>1.39</v>
      </c>
      <c r="I8" s="75"/>
      <c r="J8" s="75"/>
    </row>
    <row r="9" spans="2:10" ht="15" customHeight="1" x14ac:dyDescent="0.2">
      <c r="B9" s="69">
        <v>2021</v>
      </c>
      <c r="C9" s="70">
        <v>1</v>
      </c>
      <c r="D9" s="71">
        <v>1.1200000000000001</v>
      </c>
      <c r="E9" s="72">
        <v>1.24</v>
      </c>
      <c r="F9" s="73">
        <v>1.33</v>
      </c>
      <c r="G9" s="73">
        <v>1.39</v>
      </c>
      <c r="H9" s="75"/>
      <c r="I9" s="75"/>
      <c r="J9" s="75"/>
    </row>
    <row r="10" spans="2:10" ht="15" customHeight="1" x14ac:dyDescent="0.2">
      <c r="B10" s="69">
        <v>2022</v>
      </c>
      <c r="C10" s="70">
        <v>1</v>
      </c>
      <c r="D10" s="71">
        <v>1.1399999999999999</v>
      </c>
      <c r="E10" s="72">
        <v>1.27</v>
      </c>
      <c r="F10" s="73">
        <v>1.36</v>
      </c>
      <c r="G10" s="75"/>
      <c r="H10" s="75"/>
      <c r="I10" s="75"/>
      <c r="J10" s="75"/>
    </row>
    <row r="11" spans="2:10" ht="15" customHeight="1" x14ac:dyDescent="0.2">
      <c r="B11" s="69">
        <v>2023</v>
      </c>
      <c r="C11" s="70">
        <v>1</v>
      </c>
      <c r="D11" s="71">
        <v>1.1599999999999999</v>
      </c>
      <c r="E11" s="73">
        <v>1.3</v>
      </c>
      <c r="F11" s="75"/>
      <c r="G11" s="75"/>
      <c r="H11" s="75"/>
      <c r="I11" s="75"/>
      <c r="J11" s="75"/>
    </row>
    <row r="12" spans="2:10" ht="15" customHeight="1" x14ac:dyDescent="0.2">
      <c r="B12" s="69">
        <v>2024</v>
      </c>
      <c r="C12" s="70">
        <v>1</v>
      </c>
      <c r="D12" s="71">
        <v>1.18</v>
      </c>
      <c r="E12" s="75"/>
      <c r="F12" s="75"/>
      <c r="G12" s="75"/>
      <c r="H12" s="75"/>
      <c r="I12" s="75"/>
      <c r="J12" s="75"/>
    </row>
    <row r="13" spans="2:10" ht="15" customHeight="1" x14ac:dyDescent="0.2">
      <c r="B13" s="14" t="s">
        <v>87</v>
      </c>
      <c r="C13" s="70">
        <v>1</v>
      </c>
      <c r="D13" s="75"/>
      <c r="E13" s="75"/>
      <c r="F13" s="75"/>
      <c r="G13" s="75"/>
      <c r="H13" s="75"/>
      <c r="I13" s="75"/>
      <c r="J13" s="75"/>
    </row>
    <row r="15" spans="2:10" ht="15" customHeight="1" x14ac:dyDescent="0.2">
      <c r="B15" s="77" t="s">
        <v>88</v>
      </c>
      <c r="C15" s="78">
        <v>1</v>
      </c>
      <c r="D15" s="78">
        <v>1.1399999999999999</v>
      </c>
      <c r="E15" s="78">
        <v>1.24</v>
      </c>
      <c r="F15" s="78">
        <v>1.31</v>
      </c>
      <c r="G15" s="78">
        <v>1.36</v>
      </c>
      <c r="H15" s="78">
        <v>1.4</v>
      </c>
      <c r="I15" s="78">
        <v>1.44</v>
      </c>
      <c r="J15" s="78">
        <v>1.46</v>
      </c>
    </row>
    <row r="17" spans="2:10" ht="15" customHeight="1" x14ac:dyDescent="0.2">
      <c r="B17" s="79" t="s">
        <v>89</v>
      </c>
      <c r="C17" s="80" t="s">
        <v>90</v>
      </c>
      <c r="D17" s="81" t="s">
        <v>91</v>
      </c>
      <c r="E17" s="82" t="s">
        <v>92</v>
      </c>
      <c r="F17" s="83" t="s">
        <v>93</v>
      </c>
      <c r="G17" s="84" t="s">
        <v>94</v>
      </c>
      <c r="H17" s="85" t="s">
        <v>95</v>
      </c>
      <c r="I17" s="86" t="s">
        <v>96</v>
      </c>
    </row>
    <row r="19" spans="2:10" ht="15" customHeight="1" x14ac:dyDescent="0.2">
      <c r="B19" s="1" t="s">
        <v>97</v>
      </c>
      <c r="C19" s="1"/>
      <c r="D19" s="1"/>
      <c r="E19" s="1"/>
      <c r="F19" s="1"/>
      <c r="G19" s="1"/>
      <c r="H19" s="1"/>
      <c r="I19" s="1"/>
      <c r="J19" s="1"/>
    </row>
    <row r="20" spans="2:10" ht="15" customHeight="1" x14ac:dyDescent="0.2">
      <c r="B20" s="14" t="s">
        <v>78</v>
      </c>
      <c r="C20" s="69">
        <v>2018</v>
      </c>
      <c r="D20" s="69">
        <v>2019</v>
      </c>
      <c r="E20" s="69">
        <v>2020</v>
      </c>
      <c r="F20" s="69">
        <v>2021</v>
      </c>
      <c r="G20" s="69">
        <v>2022</v>
      </c>
      <c r="H20" s="69">
        <v>2023</v>
      </c>
      <c r="I20" s="69">
        <v>2024</v>
      </c>
      <c r="J20" s="14" t="s">
        <v>87</v>
      </c>
    </row>
    <row r="21" spans="2:10" ht="15" customHeight="1" x14ac:dyDescent="0.2">
      <c r="B21" s="26" t="s">
        <v>98</v>
      </c>
      <c r="C21" s="40">
        <v>2.8</v>
      </c>
      <c r="D21" s="44">
        <v>4.2</v>
      </c>
      <c r="E21" s="40">
        <v>6.1</v>
      </c>
      <c r="F21" s="44">
        <v>8.4</v>
      </c>
      <c r="G21" s="40">
        <v>11.2</v>
      </c>
      <c r="H21" s="44">
        <v>15.8</v>
      </c>
      <c r="I21" s="40">
        <v>22.4</v>
      </c>
      <c r="J21" s="44">
        <v>31.2</v>
      </c>
    </row>
  </sheetData>
  <mergeCells count="12">
    <mergeCell ref="B19:J19"/>
    <mergeCell ref="B1:J1"/>
    <mergeCell ref="B2:J2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ARR &amp; MRR</vt:lpstr>
      <vt:lpstr>Unit Economics</vt:lpstr>
      <vt:lpstr>Cohort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Olawoyin</cp:lastModifiedBy>
  <cp:revision>0</cp:revision>
  <dcterms:created xsi:type="dcterms:W3CDTF">2026-03-17T00:07:06Z</dcterms:created>
  <dcterms:modified xsi:type="dcterms:W3CDTF">2026-05-08T01:06:18Z</dcterms:modified>
  <dc:language>en-US</dc:language>
</cp:coreProperties>
</file>